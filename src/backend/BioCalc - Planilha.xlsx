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ções" sheetId="1" r:id="rId1"/>
    <sheet name="EngS_BioCalc" sheetId="2" r:id="rId2"/>
    <sheet name="Dados auxiliares" sheetId="3" r:id="rId3"/>
    <sheet name="CFF" sheetId="4" r:id="rId4"/>
    <sheet name="Resultados" sheetId="5" r:id="rId5"/>
    <sheet name="Referências" sheetId="6" r:id="rId6"/>
    <sheet name="_E2G" sheetId="7" r:id="rId7" state="hidden"/>
    <sheet name="_EMISSOES_AGRICOLAS_RENOVACALC" sheetId="8" r:id="rId8"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3">
    <numFmt numFmtId="56" formatCode="&quot;上午/下午 &quot;hh&quot;時&quot;mm&quot;分&quot;ss&quot;秒 &quot;"/>
    <numFmt numFmtId="164" formatCode="0.0"/>
    <numFmt numFmtId="165" formatCode="0.000"/>
    <numFmt numFmtId="166" formatCode="0.0000"/>
    <numFmt numFmtId="167" formatCode="#,##0.0000"/>
    <numFmt numFmtId="168" formatCode="[$R$ -416]#,##0.00"/>
    <numFmt numFmtId="169" formatCode="0.0E+00"/>
    <numFmt numFmtId="170" formatCode="0.0%"/>
    <numFmt numFmtId="171" formatCode="#,##0.000000"/>
    <numFmt numFmtId="172" formatCode="#,##0.0"/>
    <numFmt numFmtId="173" formatCode="#,##0.000000000"/>
    <numFmt numFmtId="174" formatCode="0.000000"/>
    <numFmt numFmtId="175" formatCode="#,##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br/receitafederal/pt-br/assuntos/aduana-e-comercio-exterior/importacao-e-exportacao/recinto-aduaneiros/portos-maritimos-fluviais-e-lacustr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bio.datagro.com/cbio/" TargetMode="External"/><Relationship Id="rId2" Type="http://schemas.openxmlformats.org/officeDocument/2006/relationships/hyperlink" Target="https://www.gov.br/receitafederal/pt-br/assuntos/aduana-e-comercio-exterior/importacao-e-exportacao/recinto-aduaneiros/portos-maritimos-fluviais-e-lacustres" TargetMode="External"/><Relationship Id="rId3" Type="http://schemas.openxmlformats.org/officeDocument/2006/relationships/hyperlink" Target="http://searates.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rluc.cnpma.embrapa.br/" TargetMode="External"/><Relationship Id="rId2" Type="http://schemas.openxmlformats.org/officeDocument/2006/relationships/hyperlink" Target="https://repositorio.unesp.br/server/api/core/bitstreams/7888a4d8-70fc-4dd7-861f-652de34560d2/content" TargetMode="External"/><Relationship Id="rId3" Type="http://schemas.openxmlformats.org/officeDocument/2006/relationships/hyperlink" Target="https://www.embrapa.br/busca-de-solucoes-tecnologicas/-/produto-servico/9659/amendoim---brs-423-ol" TargetMode="External"/></Relationships>
</file>

<file path=xl/worksheets/sheet1.xml><?xml version="1.0" encoding="utf-8"?>
<worksheet xmlns="http://schemas.openxmlformats.org/spreadsheetml/2006/main" xmlns:r="http://schemas.openxmlformats.org/officeDocument/2006/relationships">
  <dimension ref="B1:M13"/>
  <sheetViews>
    <sheetView workbookViewId="0" rightToLeft="0"/>
  </sheetViews>
  <sheetData>
    <row r="1" xml:space="preserve">
      <c r="C1" t="str" xml:space="preserve">
        <v xml:space="preserve">BioCalc 
Calculadora para contabilização de Eficiência Energético-Ambiental para biocombustíveis sólidos (Pellets ou Briquetes)</v>
      </c>
      <c r="M1" t="str">
        <v>referencrefe</v>
      </c>
    </row>
    <row r="2">
      <c r="B2" t="str">
        <v xml:space="preserve">Instruções </v>
      </c>
    </row>
    <row r="4" xml:space="preserve">
      <c r="B4" t="str" xml:space="preserve">
        <v xml:space="preserve">Bem-vindo à ferramenta de cálculo de intensidade de carbono para biocombustíveis sólidos (pellets e briquetes) e geração de nota de Eficiência Energético-Ambiental. Esta calculadora foi desenvolvida de acordo com o referencial metodológico estabelecido no RenovaBio e na Renovacalc, fundamentado na Avaliação do Ciclo de Vida (ACV) conforme as normas ISO 14040/14044. O delineamento dos sistemas de produção e transporte dos biocombustíveis sólidos foi baseado nas publicações de Silva et al. (2022), Farrapo Jr et al. (2023), Matheus et al. (2024). 
Assim, caso existam insumos (fontes de biomassa ou eletricidade, matérias-primas adicionais nos biocombustíveis, etc.) que não estão disponíveis nesta versão da calculadora, favor entrar em contato para inclusão: engs@ufscar.br
</v>
      </c>
    </row>
    <row r="5" xml:space="preserve">
      <c r="B5" t="str" xml:space="preserve">
        <v xml:space="preserve">Orientações Gerais para o preenchimento:
</v>
      </c>
    </row>
    <row r="6">
      <c r="B6" t="str">
        <v>- A entrada de dados deve ser feita na EngS_BioCalc;</v>
      </c>
    </row>
    <row r="7">
      <c r="B7" t="str">
        <v>- As células a serem preenchidas são as células em verde claro, e elas serão automaticamente alteradas para cinza após o preenchimento dos dados solicitados;</v>
      </c>
    </row>
    <row r="8">
      <c r="B8" t="str">
        <v>- As células em azul claro são células de preenchimento automático;</v>
      </c>
    </row>
    <row r="9">
      <c r="B9" t="str">
        <v>- As células em azul escuro apresentam os resultados das etapas do ciclo de vida do sistema;</v>
      </c>
    </row>
    <row r="10" xml:space="preserve">
      <c r="B10" t="str" xml:space="preserve">
        <v xml:space="preserve">- Os desenvolvedores não se responsabilizam por modificações na planilha e nas equações por parte dos usuarios;
- Certifique-se de preencher todos os campos com precisão e veracidade, prestando atenção as unidades pré-definidas na planilha;
- Utilize fontes confiáveis para obter os dados requisitados;
- Verifique e valide todas as informações antes de submeter os dados na calculadora.
</v>
      </c>
    </row>
    <row r="11" xml:space="preserve">
      <c r="B11" t="str" xml:space="preserve">
        <v xml:space="preserve">Para garantir a precisão e a conformidade dos dados, o preenchimento deve ser realizado com base nas etapas do processo de produção do biocombustível. Abaixo estão as instruções detalhadas para cada fase:
1. Fase Agrícola e Transporte da Biomassa
Nesta etapa são calculados os impactos relacionados a produção da biomassa, a Mudança de Uso da Terra (MUT) e ao transporte da biomassa da área de produção até a fabrica. As informações requisitadas incluem:
- Tipo de biomassa (selecionar da lista suspensa);
- Aproveitamento da biomassa (em kg de biomassa / kg de biocombustível);
- Entrada de amido de milho como insumo adicional na produção da biomassa (em kg / kg de biomassa);
- Origem da biomassa (local de cultivo);
- Estado de produção da biomassa (selecionar da lista suspensa);
- Detalhes do transporte da produção de biomassa até a fabrica (tipo de veículo, distância percorrida em km).
2. Fase Industrial
Para a fase industrial, deve-se incluir os dados referentes à manufatura do biocombustível. As informações solicitadas abrangem:
- Fontes de energia e seu respectivo consumo em kWh/ano (eletricidade e combustíveis);
- Insumos utilizados no processo de fabricação em kg/ano;
- Consumo de água em L/ano;
- Outros recursos e materiais empregados.
3. Fase de Distribuição
Na fase de distribuição, são necessários os dados sobre o transporte do biocombustível até o mercado consumidor. Nesse contexto, o impacto pode ser calculado para o mercado doméstico (Brasil) e também pode-se considerar a exportação do produto. As informações necessárias para o cálculo são:
Mercado doméstico (Brasil)
- Quantidade de biomassa transportada (em kg/ano);
- Distância percorrida até o mercado consumidor doméstico (em km);
- Percentual do modal de transporte, sendo: rodoviário, hidroviário ou ferroviário;
- Tipo de veículo utilizado no transporte rodoviário.
Mercado externo
- Distância da fabrica ao porto hidroviário mais próximo em km (consulta pode ser efetuada no site: gov.br) 
- Percentual do modal de transporte até o porto;
- Distância do porto hidroviário ao mercado consumidor final (consulta pode ser efetuada no site: searates.com)</v>
      </c>
    </row>
    <row r="12" xml:space="preserve">
      <c r="B12" t="str" xml:space="preserve">
        <v xml:space="preserve">A utilização correta desta ferramenta permite uma avaliação precisa da eficiência energético-ambiental dos biocombustíveis sólidos, contribuindo para a promoção de práticas sustentáveis e alinhadas aos objetivos do RenovaBio.
O desenvolvimento da planilha foi pensado para facilitar a entrada de dados pelos usuários, mas a precisão dos resultados depende de dados de entrada corretos, e esses são de responsabilidade dos usuários da planilha. Os desenvolvedores recomendam que seja realizada revisão de terceira parte e não se responsabilizam por divulgação incorreta dos resultados dos sistemas.
Esta calculadora é um resultado técnico proveniente do projeto CNPq 401237/2022-2. Os autores agradecem a agencia pelo financiamento da pesquisa.
Em caso de dúvidas, entre em contato conosco.
Agradecemos por utilizar nossa calculadora!</v>
      </c>
    </row>
  </sheetData>
  <mergeCells count="11">
    <mergeCell ref="B10:L10"/>
    <mergeCell ref="B11:L11"/>
    <mergeCell ref="B12:L12"/>
    <mergeCell ref="B13:L13"/>
    <mergeCell ref="C1:J1"/>
    <mergeCell ref="B4:L4"/>
    <mergeCell ref="B5:L5"/>
    <mergeCell ref="B6:L6"/>
    <mergeCell ref="B7:L7"/>
    <mergeCell ref="B8:L8"/>
    <mergeCell ref="B9:L9"/>
  </mergeCells>
  <hyperlinks>
    <hyperlink ref="B11" r:id="rId1"/>
  </hyperlinks>
  <ignoredErrors>
    <ignoredError numberStoredAsText="1" sqref="B1:M13"/>
  </ignoredErrors>
</worksheet>
</file>

<file path=xl/worksheets/sheet2.xml><?xml version="1.0" encoding="utf-8"?>
<worksheet xmlns="http://schemas.openxmlformats.org/spreadsheetml/2006/main" xmlns:r="http://schemas.openxmlformats.org/officeDocument/2006/relationships">
  <dimension ref="A1:J991"/>
  <sheetViews>
    <sheetView workbookViewId="0" rightToLeft="0"/>
  </sheetViews>
  <sheetData>
    <row r="1" xml:space="preserve">
      <c r="A1" t="str" xml:space="preserve">
        <v xml:space="preserve">BioCalc
Calculadora para contabilização de Eficiência Energético-Ambiental para biocombustíveis sólidos (Pellets ou Briquetes)
Chamada CNPq nº 26/2021 
401237/2022-2</v>
      </c>
    </row>
    <row r="2">
      <c r="B2" t="str">
        <v>Calculadora para contabilização de Eficiência Energético-Ambiental para biocombustíveis sólidos (Pellets ou Briquetes)</v>
      </c>
      <c r="J2" t="str">
        <v>v.1</v>
      </c>
    </row>
    <row r="4">
      <c r="B4" t="str">
        <v>Nome da Empresa:</v>
      </c>
    </row>
    <row r="6">
      <c r="B6" t="str">
        <v>CNPJ:</v>
      </c>
    </row>
    <row r="8">
      <c r="B8" t="str">
        <v>Estado:</v>
      </c>
    </row>
    <row r="10">
      <c r="B10" t="str">
        <v>Cidade:</v>
      </c>
    </row>
    <row r="12">
      <c r="B12" t="str">
        <v>Responsável pelo preenchimento:</v>
      </c>
    </row>
    <row r="14">
      <c r="B14" t="str">
        <v>Telefone:</v>
      </c>
    </row>
    <row r="16">
      <c r="B16" t="str">
        <v xml:space="preserve">E-mail:  </v>
      </c>
    </row>
    <row r="19">
      <c r="B19" t="str">
        <v>Biocombustível Sólido (Pellet ou Briquette)</v>
      </c>
      <c r="G19" t="str">
        <v>Geração de CBIOs</v>
      </c>
      <c r="J19" t="str">
        <v>Fóssil substituto: Diesel A, Gasolina A e GNV (Média ponderada)</v>
      </c>
    </row>
    <row r="20">
      <c r="J20">
        <v>0.0867</v>
      </c>
    </row>
    <row r="21" xml:space="preserve">
      <c r="B21" t="str" xml:space="preserve">
        <v xml:space="preserve">Intensidade de Carbono
(kg CO₂eq/MJ)</v>
      </c>
      <c r="C21">
        <f>SUM(C23:C26)</f>
        <v>0.002557750978</v>
      </c>
      <c r="G21" t="str">
        <v>Volume de produção elegível (em Toneladas de biocombustível)</v>
      </c>
      <c r="H21">
        <v>12000</v>
      </c>
    </row>
    <row r="23">
      <c r="B23" t="str">
        <v>agrícola</v>
      </c>
      <c r="C23">
        <f>IFERROR(SUM(E40,E47,E53),0)</f>
        <v>-0.00644166129</v>
      </c>
    </row>
    <row r="24">
      <c r="B24" t="str">
        <v>industrial</v>
      </c>
      <c r="C24">
        <f>IFERROR((SUM(E69,E81,E85,E91)),0)</f>
        <v>0.0009005138372</v>
      </c>
      <c r="G24" t="str">
        <v>Possíveis créditos elegíveis (CBIOs)</v>
      </c>
      <c r="H24">
        <f>IFERROR(ROUNDDOWN(VLOOKUP(E33,'Dados auxiliares'!B7:D12,3,0)*(H21*(SUMIF(C27,"&gt;0",C27))),0),"")</f>
        <v>18982</v>
      </c>
    </row>
    <row r="25">
      <c r="B25" t="str">
        <v>transporte</v>
      </c>
      <c r="C25">
        <f>IFERROR(SUM(E104,E117)," ")</f>
        <v>0.00772971924</v>
      </c>
    </row>
    <row r="26">
      <c r="B26" t="str">
        <v>Uso</v>
      </c>
      <c r="C26">
        <f>IFERROR(VLOOKUP(E33,'Dados auxiliares'!B7:E12,4,0), " ")</f>
        <v>0.0003691791908</v>
      </c>
    </row>
    <row r="27" xml:space="preserve">
      <c r="B27" t="str" xml:space="preserve">
        <v xml:space="preserve">Nota de Eficiência Energético-Ambiental 
(kg CO₂eq/MJ)</v>
      </c>
      <c r="C27">
        <f>J20-C21</f>
        <v>0.08414224902</v>
      </c>
      <c r="E27" t="str">
        <v>Resultado negativo representa impacto superior ao fóssil substituto</v>
      </c>
      <c r="G27" t="str" xml:space="preserve">
        <v xml:space="preserve">Valor de mercado do CBIO:B3 hoje:
Consultar em: cbio.datagro.com/cbio/</v>
      </c>
      <c r="H27">
        <v>78.07</v>
      </c>
    </row>
    <row r="29">
      <c r="B29" t="str">
        <v>Redução de emissões</v>
      </c>
      <c r="C29">
        <f>(J20-C21)/J20</f>
        <v>0.9704988353</v>
      </c>
      <c r="E29" t="str">
        <v>Resultado negativo representa impacto superior ao fóssil substituto</v>
      </c>
      <c r="G29" t="str">
        <v>Remuneração aproximada R$</v>
      </c>
      <c r="H29">
        <f>H24*H27</f>
        <v>1481924.74</v>
      </c>
    </row>
    <row r="31">
      <c r="B31" t="str">
        <v>Fase Agricola e transporte da biomassa até a fábrica</v>
      </c>
    </row>
    <row r="32">
      <c r="B32" t="str">
        <v>Produção de biomassa</v>
      </c>
    </row>
    <row r="33">
      <c r="C33" t="str">
        <v>Tipo de Biomassa (Ex. Pinus, Casca de amendoim, etc.)</v>
      </c>
      <c r="E33" t="str">
        <v>Casca de Amendoin</v>
      </c>
      <c r="G33" t="str">
        <v>Selecionar na lista suspensa</v>
      </c>
    </row>
    <row r="34">
      <c r="C34" t="str">
        <v>Possui informação sobre o consumo de Biomassa (em kg de biomassa por kg de biocombustivel)?</v>
      </c>
      <c r="E34" t="str">
        <v>Não</v>
      </c>
      <c r="G34" t="str">
        <v>Selecionar na lista suspensa</v>
      </c>
    </row>
    <row r="35" xml:space="preserve">
      <c r="C35" t="str" xml:space="preserve">
        <v xml:space="preserve">Entrada de biomassa - dado especifico 
(se não possuir a informação, não preencher, será considerado o dado padrão)</v>
      </c>
      <c r="G35" t="str">
        <v>kg de biomassa / kg de biocombustível</v>
      </c>
    </row>
    <row r="36">
      <c r="C36" t="str">
        <v>Fator de impacto da biomassa selecionada (preenchimento automático)</v>
      </c>
      <c r="E36">
        <f>IFERROR(VLOOKUP(EngS_BioCalc!E33,'Dados auxiliares'!B26:G32,6,0)," ")</f>
        <v>0.02509471581</v>
      </c>
      <c r="G36" t="str">
        <v>kg CO2 eq./ kg biomassa</v>
      </c>
    </row>
    <row r="37">
      <c r="C37" t="str">
        <v>Poder calorífico da biomassa selecionada (preenchimento automático)</v>
      </c>
      <c r="E37">
        <f>IFERROR(VLOOKUP(E33,'Dados auxiliares'!B7:C12,2,0)/1000, " ")</f>
        <v>0.05319148936</v>
      </c>
      <c r="G37" t="str">
        <v>kg / MJ de biocombustível</v>
      </c>
    </row>
    <row r="38">
      <c r="C38" t="str">
        <v>Entrada de amido de milho</v>
      </c>
      <c r="E38">
        <v>0</v>
      </c>
      <c r="G38" t="str">
        <v>kg / MJ de biocombustível</v>
      </c>
    </row>
    <row r="39">
      <c r="C39" t="str">
        <v>Impacto associado ao consumo de amido de milho (preenchimento automático)</v>
      </c>
      <c r="E39">
        <f>IFERROR((E38*'Dados auxiliares'!D32), " ")</f>
        <v>0</v>
      </c>
      <c r="G39" t="str">
        <v>kg CO2 eq / MJ</v>
      </c>
    </row>
    <row r="40">
      <c r="C40" t="str">
        <v>Impacto da produção de biomassa</v>
      </c>
      <c r="E40">
        <f>IFERROR(IFS(E34="Não", ((E37*E36)+E39) , E34="Sim", ((E35*E37*E36)+E39)), " ")</f>
        <v>0.001334825309</v>
      </c>
      <c r="G40" t="str">
        <v>kg CO2 eq. / MJ de biocombustível</v>
      </c>
    </row>
    <row r="41">
      <c r="B41" t="str">
        <v>Mudança de Uso da Terra</v>
      </c>
    </row>
    <row r="42">
      <c r="C42" t="str">
        <v>Estado da produção da Biomassa</v>
      </c>
      <c r="E42" t="str">
        <v>São Paulo</v>
      </c>
      <c r="G42" t="str">
        <v>Selecionar na lista suspensa</v>
      </c>
    </row>
    <row r="43">
      <c r="C43" t="str">
        <v>Cultivo agrícola (preenchimento automático)</v>
      </c>
      <c r="E43" t="str">
        <f>IFERROR(VLOOKUP(E33,'Dados auxiliares'!B26:H31,7,0), " ")</f>
        <v>Pinus</v>
      </c>
      <c r="G43" t="str">
        <v>-</v>
      </c>
    </row>
    <row r="44">
      <c r="C44" t="str">
        <v>Se resíduo de madeira, informe qual etapa do ciclo de vida da madeira os resíduos foram obtidos</v>
      </c>
      <c r="E44" t="str">
        <v>Resíduos de galhos e folhas</v>
      </c>
      <c r="G44" t="str">
        <v>Selecionar na lista suspensa</v>
      </c>
    </row>
    <row r="45">
      <c r="C45" t="str">
        <v>Fator de impacto do MUT (preenchimento automático)</v>
      </c>
      <c r="E45">
        <f>IFERROR(IFS(E43="Pinus", ((VLOOKUP(E42,'Dados auxiliares'!B95:N124,5,0))*1000), E43="Eucalipto", ((VLOOKUP(E42,'Dados auxiliares'!B95:N124,9,0))*1000), E43="Amendoin", ((VLOOKUP(E42,'Dados auxiliares'!B95:N124,13,0))*1000)), " ")</f>
        <v>-0.48</v>
      </c>
      <c r="G45" t="str">
        <v>kg CO2 eq./ kg biomassa</v>
      </c>
    </row>
    <row r="46">
      <c r="C46" t="str">
        <v>Percentual de alocação da biomassa (preenchimento automático)</v>
      </c>
      <c r="E46">
        <f>IFERROR(VLOOKUP((E33&amp;E44),'Dados auxiliares'!D78:J92,7,0), " ")</f>
        <v>0.325</v>
      </c>
      <c r="G46" t="str">
        <v>%</v>
      </c>
    </row>
    <row r="47">
      <c r="C47" t="str">
        <v>Impacto MUT</v>
      </c>
      <c r="E47">
        <f>IFERROR((E37*(E45*E46)), " ")</f>
        <v>-0.00829787234</v>
      </c>
      <c r="G47" t="str">
        <v>kg CO2 eq. / MJ de biocombustivel</v>
      </c>
    </row>
    <row r="48">
      <c r="B48" t="str">
        <v>Transporte da biomassa até a planta industrial</v>
      </c>
    </row>
    <row r="49">
      <c r="C49" t="str">
        <v>Distância de transporte da biomassa até a fábrica</v>
      </c>
      <c r="E49">
        <v>100</v>
      </c>
      <c r="G49" t="str">
        <v>km</v>
      </c>
    </row>
    <row r="50">
      <c r="C50" t="str">
        <v>Tipo de veículo usado no transporte</v>
      </c>
      <c r="E50" t="str">
        <v>Transporte caminhão 16-32t</v>
      </c>
      <c r="G50" t="str">
        <v>Selecionar na lista suspensa</v>
      </c>
    </row>
    <row r="51">
      <c r="C51" t="str">
        <v>Quantidade média de Biomassa transportada por veículo (preenchimento automático)</v>
      </c>
      <c r="E51">
        <f>IFERROR(VLOOKUP(E33,'Dados auxiliares'!B7:C12,2,0)/1000000, " ")</f>
        <v>0.00005319148936</v>
      </c>
      <c r="G51" t="str">
        <v>tonelada</v>
      </c>
    </row>
    <row r="52">
      <c r="C52" t="str">
        <v>Demanda de transporte (preenchimento automático)</v>
      </c>
      <c r="E52">
        <f>IFERROR((E49*E51), " ")</f>
        <v>0.005319148936</v>
      </c>
      <c r="G52" t="str">
        <v>t.km</v>
      </c>
    </row>
    <row r="53">
      <c r="C53" t="str">
        <v>Impacto do transporte da biomassa</v>
      </c>
      <c r="E53">
        <f>IFERROR((E52*VLOOKUP(E50,'Dados auxiliares'!B70:F76,3,0))," ")</f>
        <v>0.0005213857414</v>
      </c>
      <c r="G53" t="str">
        <v>kg CO2 eq. / MJ de biocombustivel</v>
      </c>
    </row>
    <row r="55">
      <c r="B55" t="str">
        <v>Fase Industrial - Processamento (Secagem e Densificação da biomassa)</v>
      </c>
    </row>
    <row r="56" xml:space="preserve">
      <c r="B56" t="str" xml:space="preserve">
        <v xml:space="preserve">Informações sobre os elementos envolvidos na fase de produção do Biocombustível - Inserir os dados referentes ao consumo anual da unidade de fabricação
(Caso o elemento não seja utilizado, deixar em branco)</v>
      </c>
    </row>
    <row r="57">
      <c r="B57" t="str">
        <v>Dados do sistema</v>
      </c>
    </row>
    <row r="58">
      <c r="B58" t="str">
        <v>Existe co-geração de energia (aproveitamento da biomassa na geração de energia)</v>
      </c>
      <c r="E58" t="str">
        <v>Não</v>
      </c>
    </row>
    <row r="59" xml:space="preserve">
      <c r="C59" t="str" xml:space="preserve">
        <v xml:space="preserve">Quantidade de biomassa processada 
(não considerar a biomassa usada na co-geração, se houver)</v>
      </c>
      <c r="E59">
        <v>12000000</v>
      </c>
      <c r="G59" t="str">
        <v>kg/ano</v>
      </c>
    </row>
    <row r="60" xml:space="preserve">
      <c r="C60" t="str" xml:space="preserve">
        <v xml:space="preserve">Quantidade de biomassa consumida na co-geração?
(Considerando a mesma biomassa obtida na fase agricola)</v>
      </c>
      <c r="E60">
        <v>0</v>
      </c>
      <c r="G60" t="str">
        <v>kg/ano</v>
      </c>
    </row>
    <row r="61">
      <c r="B61" t="str">
        <v>Energia - Eletricidade</v>
      </c>
    </row>
    <row r="62">
      <c r="C62" t="str">
        <v>Eletricidade da rede - mix média voltagem</v>
      </c>
      <c r="E62">
        <v>0</v>
      </c>
      <c r="G62" t="str">
        <v>kWh/ano</v>
      </c>
    </row>
    <row r="63">
      <c r="C63" t="str">
        <v>Eletricidade da rede - mix alta voltagem</v>
      </c>
      <c r="E63">
        <v>0</v>
      </c>
      <c r="G63" t="str">
        <v>kWh/ano</v>
      </c>
    </row>
    <row r="64">
      <c r="C64" t="str">
        <v>Eletricidade - PCH</v>
      </c>
      <c r="E64">
        <v>0</v>
      </c>
      <c r="G64" t="str">
        <v>kWh/ano</v>
      </c>
    </row>
    <row r="65">
      <c r="C65" t="str">
        <v>Eletricidade - biomassa</v>
      </c>
      <c r="E65">
        <v>1846801</v>
      </c>
      <c r="G65" t="str">
        <v>kWh/ano</v>
      </c>
    </row>
    <row r="66">
      <c r="C66" t="str">
        <v>Eletricidade - eólica</v>
      </c>
      <c r="E66">
        <v>0</v>
      </c>
      <c r="G66" t="str">
        <v>kWh/ano</v>
      </c>
    </row>
    <row r="67">
      <c r="C67" t="str">
        <v>Eletricidade - solar</v>
      </c>
      <c r="E67">
        <v>0</v>
      </c>
      <c r="G67" t="str">
        <v>kWh/ano</v>
      </c>
    </row>
    <row r="68">
      <c r="C68" t="str">
        <v>Impacto do consumo de eletricidade (preenchimento automático)</v>
      </c>
      <c r="E68">
        <f>IFERROR(SUMPRODUCT(E62:E67,'Dados auxiliares'!G41:G46), " ")</f>
        <v>203072.0558</v>
      </c>
      <c r="G68" t="str">
        <v>kg CO2/ano</v>
      </c>
    </row>
    <row r="69">
      <c r="C69" t="str">
        <v>Impacto do consumo de eletricidade</v>
      </c>
      <c r="E69">
        <f>IFERROR(E68*(1/E59)*E37, " ")</f>
        <v>0.0009001420912</v>
      </c>
      <c r="G69" t="str">
        <v>kg CO2/MJ</v>
      </c>
    </row>
    <row r="70">
      <c r="B70" t="str">
        <v>Energia - Combustível</v>
      </c>
    </row>
    <row r="71">
      <c r="C71" t="str">
        <v>Diesel</v>
      </c>
      <c r="E71">
        <v>24.4</v>
      </c>
      <c r="G71" t="str">
        <v>Litros/ano</v>
      </c>
    </row>
    <row r="72">
      <c r="C72" t="str">
        <v>Gás natural</v>
      </c>
      <c r="E72">
        <v>0</v>
      </c>
      <c r="G72" t="str">
        <v>Nm³/ano</v>
      </c>
    </row>
    <row r="73">
      <c r="C73" t="str">
        <v>GLP</v>
      </c>
      <c r="E73">
        <v>0</v>
      </c>
      <c r="G73" t="str">
        <v>kg/ano</v>
      </c>
    </row>
    <row r="74">
      <c r="C74" t="str">
        <v>Gasolina A</v>
      </c>
      <c r="E74">
        <v>0</v>
      </c>
      <c r="G74" t="str">
        <v>Litros/ano</v>
      </c>
    </row>
    <row r="75">
      <c r="C75" t="str">
        <v>Etanol anidro</v>
      </c>
      <c r="E75">
        <v>0</v>
      </c>
      <c r="G75" t="str">
        <v>Litros/ano</v>
      </c>
    </row>
    <row r="76">
      <c r="C76" t="str">
        <v>Etanol hidratado</v>
      </c>
      <c r="E76">
        <v>0</v>
      </c>
      <c r="G76" t="str">
        <v>Litros/ano</v>
      </c>
    </row>
    <row r="77">
      <c r="C77" t="str">
        <v>Cavaco de madeira</v>
      </c>
      <c r="E77">
        <v>0</v>
      </c>
      <c r="G77" t="str">
        <v>kg/ano</v>
      </c>
    </row>
    <row r="78">
      <c r="C78" t="str">
        <v>Lenha</v>
      </c>
      <c r="E78">
        <v>0</v>
      </c>
      <c r="G78" t="str">
        <v>kg/ano</v>
      </c>
    </row>
    <row r="79">
      <c r="C79" t="str">
        <v>Impacto da produção de combustível (preenchimento automático)</v>
      </c>
      <c r="E79">
        <f>IFERROR(SUMPRODUCT(E71:E78,'Dados auxiliares'!G48:G55), " ")</f>
        <v>19.41833333</v>
      </c>
      <c r="G79" t="str">
        <v>kg CO2/ano</v>
      </c>
    </row>
    <row r="80">
      <c r="C80" t="str">
        <v>Impacto da combustão estacionária (preenchimento automático)</v>
      </c>
      <c r="E80">
        <f>IFERROR(SUMPRODUCT(E71:E78,'Dados auxiliares'!G57:G64), " ")</f>
        <v>64.44755739</v>
      </c>
      <c r="G80" t="str">
        <v>kg CO2/ano</v>
      </c>
    </row>
    <row r="81">
      <c r="C81" t="str">
        <v>Impacto do consumo de combustível</v>
      </c>
      <c r="E81">
        <f>IFERROR((E79+E80)*(1/E59)*E37, " ")</f>
        <v>3.717459695e-7</v>
      </c>
      <c r="G81" t="str">
        <v>kg CO2/MJ</v>
      </c>
    </row>
    <row r="82">
      <c r="B82" t="str">
        <v>Co-geração (Aproveitamento energético)</v>
      </c>
    </row>
    <row r="83">
      <c r="C83" t="str">
        <v>Fator de emissão da combustão da biomassa</v>
      </c>
      <c r="E83">
        <f>IFERROR((VLOOKUP(E33,'Dados auxiliares'!B33:G39,6,0)),0)</f>
        <v>1.9719578</v>
      </c>
      <c r="G83" t="str">
        <v>kg CO2/ kg de biomassa queimada</v>
      </c>
    </row>
    <row r="84">
      <c r="C84" t="str">
        <v>Impacto da combustão da biomassa (preenchimento automático)</v>
      </c>
      <c r="E84">
        <f>IFERROR((E60*E83)," ')")</f>
        <v>0</v>
      </c>
      <c r="G84" t="str">
        <v>kg CO2/ano</v>
      </c>
    </row>
    <row r="85">
      <c r="C85" t="str">
        <v>Impacto da combustão da biomassa</v>
      </c>
      <c r="E85">
        <f>IFERROR((E84)*(1/E59)*E37, " ")</f>
        <v>0</v>
      </c>
      <c r="G85" t="str">
        <v>kg CO2/MJ</v>
      </c>
    </row>
    <row r="86">
      <c r="B86" t="str">
        <v>Insumos de manufatura</v>
      </c>
    </row>
    <row r="87">
      <c r="C87" t="str">
        <v>Água</v>
      </c>
      <c r="E87">
        <v>0</v>
      </c>
      <c r="G87" t="str">
        <v>litros/ano</v>
      </c>
    </row>
    <row r="88">
      <c r="C88" t="str">
        <v>Óleo lubrificante</v>
      </c>
      <c r="E88">
        <v>0</v>
      </c>
      <c r="G88" t="str">
        <v>kg/ano</v>
      </c>
    </row>
    <row r="89">
      <c r="C89" t="str">
        <v>Areia de silica</v>
      </c>
      <c r="E89">
        <v>0</v>
      </c>
      <c r="G89" t="str">
        <v>kg/ano</v>
      </c>
    </row>
    <row r="90">
      <c r="C90" t="str">
        <v>Impacto da fase industrial</v>
      </c>
      <c r="E90">
        <f>IFERROR(SUMPRODUCT(E87:E89,'Dados auxiliares'!G66:G68), " ")</f>
        <v>0</v>
      </c>
      <c r="G90" t="str">
        <v>kg CO2 eq./ano</v>
      </c>
    </row>
    <row r="91">
      <c r="C91" t="str">
        <v>Impacto da fase industrial</v>
      </c>
      <c r="E91">
        <f>IFERROR(E90*(1/E59)*E37, " ")</f>
        <v>0</v>
      </c>
      <c r="G91" t="str">
        <v xml:space="preserve">kg CO2 eq. / MJ </v>
      </c>
    </row>
    <row r="93">
      <c r="B93" t="str">
        <v>Fase de Distribuição</v>
      </c>
    </row>
    <row r="94" xml:space="preserve">
      <c r="B94" t="str" xml:space="preserve">
        <v xml:space="preserve">Forneça a distancia do produto final até o mercado consumidor doméstico e o seu respectivo modal de transporte em percentual (caso seja modal único, preencher como 100%)
(Deixar em branco quando não aplicável)</v>
      </c>
    </row>
    <row r="95">
      <c r="B95" t="str">
        <v>Mercado doméstico</v>
      </c>
    </row>
    <row r="96">
      <c r="C96" t="str">
        <v>Quantidade de biomassa transportada no mercado doméstico</v>
      </c>
      <c r="E96">
        <v>12000</v>
      </c>
      <c r="G96" t="str">
        <v>tonelada</v>
      </c>
    </row>
    <row r="97">
      <c r="C97" t="str">
        <v>Distância de transporte do produto final até o mercado consumidor doméstico</v>
      </c>
      <c r="E97">
        <v>100</v>
      </c>
      <c r="G97" t="str">
        <v>km</v>
      </c>
    </row>
    <row r="98" xml:space="preserve">
      <c r="C98" t="str" xml:space="preserve">
        <v xml:space="preserve">Ferroviário
Refere-se ao percentual da distância mensal do biocombustível comercializado que é distribuido exclusivamente por via ferroviária</v>
      </c>
      <c r="E98">
        <v>0</v>
      </c>
      <c r="G98" t="str">
        <v>%</v>
      </c>
    </row>
    <row r="99" xml:space="preserve">
      <c r="C99" t="str" xml:space="preserve">
        <v xml:space="preserve">Hidroviário
Refere-se ao percentual da distância mensal do biocombustível comercializado que é distribuido exclusivamente por via hidroviária</v>
      </c>
      <c r="E99">
        <v>0</v>
      </c>
      <c r="G99" t="str">
        <v>%</v>
      </c>
    </row>
    <row r="100" xml:space="preserve">
      <c r="C100" t="str" xml:space="preserve">
        <v xml:space="preserve">Rodoviário
Refere-se ao percentual da distância mensal do biocombustível comercializado que é distribuido exclusivamente por via rodoviária</v>
      </c>
      <c r="E100">
        <f>1-SUM(E98:E99)</f>
        <v>1</v>
      </c>
      <c r="G100" t="str">
        <v>%</v>
      </c>
    </row>
    <row r="101">
      <c r="C101" t="str">
        <v>Tipo de veículo usado no transporte rodoviário</v>
      </c>
      <c r="E101" t="str">
        <v>Transporte caminhão 16-32t</v>
      </c>
    </row>
    <row r="102">
      <c r="C102" t="str">
        <v>Impacto da fase de distribuição no mercado doméstico (preenchimento automático)</v>
      </c>
      <c r="E102">
        <f>IFERROR(((E96*(E97*E98)*'Dados auxiliares'!G76)+(E96*(E97*E99)*'Dados auxiliares'!G75)+(E96*(E97*E100)*VLOOKUP(E101,'Dados auxiliares'!B70:G76,6,0))),0)</f>
        <v>117624.6233</v>
      </c>
      <c r="G102" t="str">
        <v>kg CO2 eq./ano</v>
      </c>
    </row>
    <row r="103">
      <c r="C103" t="str">
        <v>MJ transportado anualmente</v>
      </c>
      <c r="E103">
        <f>IFERROR(E96*1000*(1/E37)," ")</f>
        <v>225600000</v>
      </c>
      <c r="G103" t="str">
        <v>MJ/ano</v>
      </c>
    </row>
    <row r="104">
      <c r="C104" t="str">
        <v>Impacto da distribuição no mercado doméstico</v>
      </c>
      <c r="E104">
        <f>IFERROR(E102/E103,"")</f>
        <v>0.0005213857414</v>
      </c>
      <c r="G104" t="str">
        <v>kg CO2 eq. / MJ transportado</v>
      </c>
    </row>
    <row r="105">
      <c r="B105" t="str">
        <v>Exportação - via container marítimo</v>
      </c>
    </row>
    <row r="106" xml:space="preserve">
      <c r="B106" t="str" xml:space="preserve">
        <v xml:space="preserve">Caso tenha interesse em saber o impacto da exportação do seu produto, preencha os dados abaixo:
(Deixar em branco quando não aplicável)</v>
      </c>
    </row>
    <row r="107">
      <c r="C107" t="str">
        <v>Quantidade de biocombustível sólido exportado via container marítimo</v>
      </c>
      <c r="E107">
        <v>12000</v>
      </c>
      <c r="G107" t="str">
        <v>tonelada(s)</v>
      </c>
    </row>
    <row r="108" xml:space="preserve">
      <c r="C108" t="str" xml:space="preserve">
        <v xml:space="preserve">Distância da fabrica ao porto hidroviário mais próximo
Consulta pode ser efetuada no site: gov.br </v>
      </c>
      <c r="E108">
        <v>410</v>
      </c>
      <c r="G108" t="str">
        <v>km</v>
      </c>
    </row>
    <row r="109" xml:space="preserve">
      <c r="C109" t="str" xml:space="preserve">
        <v xml:space="preserve">Ferroviário
Refere-se ao percentual da distância até o porto hidroviário distribuido exclusivamente por via ferroviária</v>
      </c>
      <c r="E109">
        <v>0</v>
      </c>
      <c r="G109" t="str">
        <v>%</v>
      </c>
    </row>
    <row r="110" xml:space="preserve">
      <c r="C110" t="str" xml:space="preserve">
        <v xml:space="preserve">Hidroviário
Refere-se ao percentual da distância até o porto hidroviário distribuido exclusivamente por via hidroviária</v>
      </c>
      <c r="E110">
        <v>0</v>
      </c>
      <c r="G110" t="str">
        <v>%</v>
      </c>
    </row>
    <row r="111" xml:space="preserve">
      <c r="C111" t="str" xml:space="preserve">
        <v xml:space="preserve">Rodoviário
Refere-se ao percentual da distância até o porto hidroviário distribuido exclusivamente por via rodoviária</v>
      </c>
      <c r="E111">
        <f>1-SUM(E109:E110)</f>
        <v>1</v>
      </c>
      <c r="G111" t="str">
        <v>%</v>
      </c>
    </row>
    <row r="112">
      <c r="C112" t="str">
        <v>Tipo de veículo usado no transporte rodoviário até o porto</v>
      </c>
      <c r="E112" t="str">
        <v>Transporte caminhão 16-32t</v>
      </c>
    </row>
    <row r="113" xml:space="preserve">
      <c r="C113" t="str" xml:space="preserve">
        <v xml:space="preserve">Distância do porto hidroviário ao mercado consumidor final
Consulta pode ser efetuada no site: searates.com</v>
      </c>
      <c r="E113">
        <v>10015.23</v>
      </c>
      <c r="G113" t="str">
        <v>km</v>
      </c>
    </row>
    <row r="114">
      <c r="C114" t="str">
        <v>Impacto da fase de distribuição no mercado externo (trecho fabrica-porto)</v>
      </c>
      <c r="E114">
        <f>(E107*(E108*E109)*'Dados auxiliares'!G76)+(E107*(E108*E110)*'Dados auxiliares'!G75)+(E107*(E108*E111)*VLOOKUP(E112,'Dados auxiliares'!B70:G76,6,0))</f>
        <v>482260.9553</v>
      </c>
      <c r="G114" t="str">
        <v>kg CO2 eq./ano</v>
      </c>
    </row>
    <row r="115">
      <c r="C115" t="str">
        <v>Impacto da fase de distribuição no mercado externo (trecho porto - mercado consumidor final)</v>
      </c>
      <c r="E115">
        <f>E107*E113*'Dados auxiliares'!G74</f>
        <v>1143939.082</v>
      </c>
      <c r="G115" t="str">
        <v>kg CO2 eq./ano</v>
      </c>
    </row>
    <row r="116">
      <c r="C116" t="str">
        <v>MJ exportado por ano</v>
      </c>
      <c r="E116">
        <f>E107*1000*(1/E37)</f>
        <v>225600000</v>
      </c>
      <c r="G116" t="str">
        <v>MJ/ano</v>
      </c>
    </row>
    <row r="117">
      <c r="C117" t="str">
        <v>Impacto da exportação</v>
      </c>
      <c r="E117">
        <f>IFERROR((E114+E115)/E116," ")</f>
        <v>0.007208333498</v>
      </c>
      <c r="G117" t="str">
        <v>kg CO2 eq. / MJ transportado</v>
      </c>
    </row>
  </sheetData>
  <mergeCells count="28">
    <mergeCell ref="A1:J1"/>
    <mergeCell ref="C4:J4"/>
    <mergeCell ref="C6:J6"/>
    <mergeCell ref="C8:J8"/>
    <mergeCell ref="C10:J10"/>
    <mergeCell ref="C12:J12"/>
    <mergeCell ref="C14:E14"/>
    <mergeCell ref="C16:E16"/>
    <mergeCell ref="B19:C19"/>
    <mergeCell ref="G19:H19"/>
    <mergeCell ref="B31:J31"/>
    <mergeCell ref="B32:J32"/>
    <mergeCell ref="B41:J41"/>
    <mergeCell ref="B48:J48"/>
    <mergeCell ref="B86:J86"/>
    <mergeCell ref="B92:J92"/>
    <mergeCell ref="B93:J93"/>
    <mergeCell ref="B94:J94"/>
    <mergeCell ref="B95:J95"/>
    <mergeCell ref="B105:J105"/>
    <mergeCell ref="B106:J106"/>
    <mergeCell ref="B55:J55"/>
    <mergeCell ref="B56:J56"/>
    <mergeCell ref="B57:J57"/>
    <mergeCell ref="B58:C58"/>
    <mergeCell ref="B61:J61"/>
    <mergeCell ref="B70:J70"/>
    <mergeCell ref="B82:J82"/>
  </mergeCells>
  <hyperlinks>
    <hyperlink ref="G27" r:id="rId1"/>
    <hyperlink ref="C108" r:id="rId2"/>
    <hyperlink ref="C113" r:id="rId3"/>
  </hyperlinks>
  <pageMargins left="0.511805555555555" right="0.511805555555555" top="0.7875" bottom="0.7875" header="0" footer="0"/>
  <ignoredErrors>
    <ignoredError numberStoredAsText="1" sqref="A1:J991"/>
  </ignoredErrors>
</worksheet>
</file>

<file path=xl/worksheets/sheet3.xml><?xml version="1.0" encoding="utf-8"?>
<worksheet xmlns="http://schemas.openxmlformats.org/spreadsheetml/2006/main" xmlns:r="http://schemas.openxmlformats.org/officeDocument/2006/relationships">
  <dimension ref="B1:O982"/>
  <sheetViews>
    <sheetView workbookViewId="0" rightToLeft="0"/>
  </sheetViews>
  <sheetData>
    <row r="1" xml:space="preserve">
      <c r="B1" t="str" xml:space="preserve">
        <v xml:space="preserve">BioCalc 
Calculadora para contabilização de Eficiência Energético-Ambiental para biocombustíveis sólidos (Pellets ou Briquetes)
Chamada CNPq nº 26/2021 
401237/2022-2</v>
      </c>
    </row>
    <row r="2">
      <c r="B2" t="str">
        <v xml:space="preserve">Dados auxiliares </v>
      </c>
    </row>
    <row r="4">
      <c r="B4" t="str">
        <v>Poder calorífico inferior das Biomassas</v>
      </c>
    </row>
    <row r="5">
      <c r="B5" t="str">
        <v>Fontes de Biomassa</v>
      </c>
      <c r="C5" t="str">
        <v>PCI</v>
      </c>
      <c r="E5" t="str">
        <v>Combustão estacionária (queima em caldeira)</v>
      </c>
      <c r="F5" t="str">
        <v>Referência</v>
      </c>
      <c r="G5" t="str">
        <v>PCI - Biocombustível</v>
      </c>
    </row>
    <row r="6">
      <c r="C6" t="str">
        <v>g/MJ</v>
      </c>
      <c r="D6" t="str">
        <v>MJ/kg</v>
      </c>
      <c r="E6" t="str">
        <v>kg CO2 eq/MJ</v>
      </c>
      <c r="G6" t="str">
        <v>Biocombustível sólido</v>
      </c>
      <c r="H6" t="str">
        <v>MJ/kg</v>
      </c>
    </row>
    <row r="7">
      <c r="B7" t="str">
        <v>Resíduo de Pinus</v>
      </c>
      <c r="C7">
        <f>1/D7*1000</f>
        <v>53.19148936</v>
      </c>
      <c r="D7">
        <v>18.8</v>
      </c>
      <c r="E7">
        <f>J186</f>
        <v>0.0003691791908</v>
      </c>
      <c r="F7" t="str">
        <v>Matheus et al. (2024)</v>
      </c>
      <c r="G7" t="str">
        <v>Pellet/Briquette Pinus</v>
      </c>
      <c r="H7">
        <v>18.8</v>
      </c>
    </row>
    <row r="8">
      <c r="B8" t="str">
        <v>Resíduo de Eucaliptus</v>
      </c>
      <c r="C8">
        <f>1/D8*1000</f>
        <v>63.29113924</v>
      </c>
      <c r="D8">
        <v>15.8</v>
      </c>
      <c r="E8">
        <f>J186</f>
        <v>0.0003691791908</v>
      </c>
      <c r="F8" t="str">
        <v>Matheus et al. (2024)</v>
      </c>
      <c r="G8" t="str">
        <v>Pellet/Briquette Eucaliptus</v>
      </c>
      <c r="H8">
        <v>15.8</v>
      </c>
    </row>
    <row r="9">
      <c r="B9" t="str">
        <v>Carvão vegetal de eucalipto</v>
      </c>
      <c r="C9">
        <f>1/D9*1000</f>
        <v>63.29113924</v>
      </c>
      <c r="D9">
        <v>15.8</v>
      </c>
      <c r="E9">
        <f>N172</f>
        <v>0.119052</v>
      </c>
      <c r="F9" t="str">
        <v>Matheus et al. (2024)</v>
      </c>
      <c r="G9" t="str">
        <v>Carvão vegetal de Eucalipto</v>
      </c>
      <c r="H9">
        <v>18.5</v>
      </c>
    </row>
    <row r="10">
      <c r="B10" t="str">
        <v>Casca de Amendoin</v>
      </c>
      <c r="C10">
        <f>1/D10*1000</f>
        <v>58.47953216</v>
      </c>
      <c r="D10">
        <v>17.1</v>
      </c>
      <c r="E10">
        <f>J183</f>
        <v>0.000373497076</v>
      </c>
      <c r="F10" t="str">
        <v>Perea-Moreno et al. (2018)</v>
      </c>
      <c r="G10" t="str">
        <v>Pellet/Briquette de Casca de Amendoin</v>
      </c>
      <c r="H10">
        <v>17.1</v>
      </c>
    </row>
    <row r="11">
      <c r="B11" t="str">
        <v>Eucaliptus Virgem</v>
      </c>
      <c r="C11">
        <f>1/D11*1000</f>
        <v>63.29113924</v>
      </c>
      <c r="D11">
        <v>15.8</v>
      </c>
      <c r="E11">
        <f>J186</f>
        <v>0.0003691791908</v>
      </c>
      <c r="F11" t="str">
        <v>Farrapo Jr. et al. (2023)</v>
      </c>
      <c r="G11" t="str">
        <v>Pellet/Briquette de Eucaliptus Virgem</v>
      </c>
      <c r="H11">
        <v>15.8</v>
      </c>
    </row>
    <row r="12">
      <c r="B12" t="str">
        <v>Pinus Virgem</v>
      </c>
      <c r="C12">
        <f>1/D12*1000</f>
        <v>53.19148936</v>
      </c>
      <c r="D12">
        <v>18.8</v>
      </c>
      <c r="E12">
        <f>J186</f>
        <v>0.0003691791908</v>
      </c>
      <c r="F12" t="str">
        <v>Farrapo Jr. et al. (2023)</v>
      </c>
      <c r="G12" t="str">
        <v>Pellet/Briquette de Pinus Virgem</v>
      </c>
      <c r="H12">
        <v>18.8</v>
      </c>
    </row>
    <row r="14">
      <c r="B14" t="str">
        <v>Fatores de caracterização dos gases causadores do efeito estufa</v>
      </c>
    </row>
    <row r="15">
      <c r="B15" t="str">
        <v>Gases de Efeito Estufa</v>
      </c>
      <c r="C15" t="str">
        <v>GWP</v>
      </c>
      <c r="D15" t="str">
        <v>Referência</v>
      </c>
    </row>
    <row r="16">
      <c r="C16" t="str">
        <v>kg CO2eq/kg</v>
      </c>
    </row>
    <row r="17">
      <c r="B17" t="str">
        <v>CO2 - Dióxido de Carbono Fóssil</v>
      </c>
      <c r="C17">
        <v>1</v>
      </c>
      <c r="D17" t="str">
        <v>AR6 (IPCC, 2021)</v>
      </c>
    </row>
    <row r="18">
      <c r="B18" t="str">
        <v>CH4 - Metano Fóssil</v>
      </c>
      <c r="C18">
        <v>29.8</v>
      </c>
      <c r="D18" t="str">
        <v>AR6 (IPCC, 2021)</v>
      </c>
    </row>
    <row r="19">
      <c r="B19" t="str">
        <v>CH4 - biogênico - Metano Biogênico</v>
      </c>
      <c r="C19">
        <v>27.2</v>
      </c>
      <c r="D19" t="str">
        <v>AR6 (IPCC, 2021)</v>
      </c>
    </row>
    <row r="20">
      <c r="B20" t="str">
        <v>N2O - Óxido Nitroso</v>
      </c>
      <c r="C20">
        <v>273</v>
      </c>
      <c r="D20" t="str">
        <v>AR6 (IPCC, 2021)</v>
      </c>
    </row>
    <row r="22">
      <c r="B22" t="str">
        <v>Emissões do ciclo de vida dos insumos e outros processos à montante</v>
      </c>
    </row>
    <row r="23" xml:space="preserve">
      <c r="B23" t="str">
        <v>Insumo</v>
      </c>
      <c r="C23" t="str">
        <v xml:space="preserve">Unidade </v>
      </c>
      <c r="D23" t="str" xml:space="preserve">
        <v xml:space="preserve">emissão processo
kg CO₂ eq/unidade</v>
      </c>
      <c r="E23" t="str" xml:space="preserve">
        <v xml:space="preserve">Alocação   
produto (%)</v>
      </c>
      <c r="F23" t="str">
        <v>Alocação co-produto(%)</v>
      </c>
      <c r="G23" t="str" xml:space="preserve">
        <v xml:space="preserve">emissão biomassa alocada 
kg CO2 eq/unidade</v>
      </c>
      <c r="H23" t="str">
        <v>Outras informações</v>
      </c>
      <c r="I23" t="str">
        <v>Fonte dos dados</v>
      </c>
      <c r="J23" t="str">
        <v>Método de impacto para estimar a emissão em kg CO2 eq</v>
      </c>
      <c r="K23" t="str">
        <v>Processo de referência</v>
      </c>
    </row>
    <row r="25">
      <c r="B25" t="str">
        <v>Biomassas (produção)</v>
      </c>
      <c r="H25" t="str">
        <v>Tipo de biomassa</v>
      </c>
    </row>
    <row r="26">
      <c r="B26" t="str">
        <v>Resíduo de Pinus</v>
      </c>
      <c r="C26" t="str">
        <v>kg</v>
      </c>
      <c r="D26">
        <v>0.0250947158128894</v>
      </c>
      <c r="E26">
        <v>0</v>
      </c>
      <c r="F26">
        <v>1</v>
      </c>
      <c r="G26">
        <f>D26*F26</f>
        <v>0.02509471581</v>
      </c>
      <c r="H26" t="str">
        <v>Pinus</v>
      </c>
      <c r="I26" t="str">
        <v>ecoinvent 3.9.1</v>
      </c>
      <c r="J26" t="str">
        <v>ReCiPe 2016 MidPoint H</v>
      </c>
      <c r="K26" t="str">
        <v>market for residual softwood, wet | residual softwood, wet | Cutoff, U - RoW</v>
      </c>
    </row>
    <row r="27">
      <c r="B27" t="str">
        <v>Resíduo de Eucaliptus</v>
      </c>
      <c r="C27" t="str">
        <v>kg</v>
      </c>
      <c r="D27">
        <v>0.0250947158128894</v>
      </c>
      <c r="E27">
        <v>0</v>
      </c>
      <c r="F27">
        <v>1</v>
      </c>
      <c r="G27">
        <f>D27*F27</f>
        <v>0.02509471581</v>
      </c>
      <c r="H27" t="str">
        <v>Eucalipto</v>
      </c>
      <c r="I27" t="str">
        <v>ecoinvent 3.9.1</v>
      </c>
      <c r="J27" t="str">
        <v>ReCiPe 2016 MidPoint H</v>
      </c>
      <c r="K27" t="str">
        <v>market for residual softwood, wet | residual softwood, wet | Cutoff, U - RoW</v>
      </c>
    </row>
    <row r="28">
      <c r="B28" t="str">
        <v>Carvão vegetal de eucalipto</v>
      </c>
      <c r="C28" t="str">
        <v>kg</v>
      </c>
      <c r="D28">
        <v>1.76253630637048</v>
      </c>
      <c r="E28">
        <v>1</v>
      </c>
      <c r="F28">
        <v>0</v>
      </c>
      <c r="G28">
        <f>D28*E28</f>
        <v>1.762536306</v>
      </c>
      <c r="H28" t="str">
        <v>Eucalipto</v>
      </c>
      <c r="I28" t="str">
        <v xml:space="preserve">ecoinvent 3.9.1 </v>
      </c>
      <c r="J28" t="str">
        <v>ReCiPe 2016 MidPoint H</v>
      </c>
      <c r="K28" t="str">
        <v>charcoal production | charcoal | Cutoff, U - GLO</v>
      </c>
    </row>
    <row r="29">
      <c r="B29" t="str">
        <v>Casca de Amendoin</v>
      </c>
      <c r="C29" t="str">
        <v>kg</v>
      </c>
      <c r="D29">
        <v>0.666051667404622</v>
      </c>
      <c r="E29">
        <v>0.77</v>
      </c>
      <c r="F29">
        <v>0.23</v>
      </c>
      <c r="G29">
        <f>D29*F29</f>
        <v>0.1531918835</v>
      </c>
      <c r="H29" t="str">
        <v>Amendoin</v>
      </c>
      <c r="I29" t="str">
        <v>ecoinvent 3.9.1</v>
      </c>
      <c r="J29" t="str">
        <v>ReCiPe 2016 MidPoint H</v>
      </c>
      <c r="K29" t="str">
        <v>peanut production, reduced tillage | peanut | Cutoff, U - BR-SP</v>
      </c>
    </row>
    <row r="30">
      <c r="B30" t="str">
        <v>Eucaliptus Virgem</v>
      </c>
      <c r="C30" t="str">
        <v>kg</v>
      </c>
      <c r="D30">
        <f>(0.116894430212064+0.1521103354869+0.0421587193806945)/3</f>
        <v>0.1037211617</v>
      </c>
      <c r="E30">
        <v>1</v>
      </c>
      <c r="F30">
        <v>0</v>
      </c>
      <c r="G30">
        <f>D30*E30</f>
        <v>0.1037211617</v>
      </c>
      <c r="H30" t="str">
        <v>Eucalipto</v>
      </c>
      <c r="I30" t="str">
        <v>ecoinvent 3.9.1</v>
      </c>
      <c r="J30" t="str">
        <v>ReCiPe 2016 MidPoint H</v>
      </c>
      <c r="K30" t="str">
        <v>hardwood forestry, eucalyptus ssp., planted forest management | cleft timber, measured as dry mass | Cutoff, U - BR (average between GO; MG; SP)</v>
      </c>
    </row>
    <row r="31">
      <c r="B31" t="str">
        <v>Pinus Virgem</v>
      </c>
      <c r="C31" t="str">
        <v>kg</v>
      </c>
      <c r="D31">
        <f>210.86457019554/500</f>
        <v>0.4217291404</v>
      </c>
      <c r="E31">
        <v>1</v>
      </c>
      <c r="F31">
        <v>0</v>
      </c>
      <c r="G31">
        <f>D31*E31</f>
        <v>0.4217291404</v>
      </c>
      <c r="H31" t="str">
        <v>Pinus</v>
      </c>
      <c r="I31" t="str">
        <v>ecoinvent 3.9.1</v>
      </c>
      <c r="J31" t="str">
        <v>ReCiPe 2016 MidPoint H</v>
      </c>
      <c r="K31" t="str">
        <v>softwood forestry, paraná pine, sustainable forest management | sawlog and veneer log, paraná pine, measured as solid wood under bark | Cutoff, U - BR-PR</v>
      </c>
    </row>
    <row r="32">
      <c r="B32" t="str">
        <v>Amido de milho</v>
      </c>
      <c r="C32" t="str">
        <v>kg</v>
      </c>
      <c r="D32">
        <v>1.20067098542324</v>
      </c>
      <c r="E32">
        <v>1</v>
      </c>
      <c r="F32">
        <v>0</v>
      </c>
      <c r="G32">
        <f>D32*E32</f>
        <v>1.200670985</v>
      </c>
      <c r="H32" t="str">
        <v>-</v>
      </c>
      <c r="I32" t="str">
        <v>ecoinvent 3.9.1</v>
      </c>
      <c r="J32" t="str">
        <v>ReCiPe 2016 MidPoint H</v>
      </c>
      <c r="K32" t="str">
        <v>maize starch production | maize starch | Cutoff, U - RoW</v>
      </c>
    </row>
    <row r="33">
      <c r="B33" t="str">
        <v>Biomassas (combustão)</v>
      </c>
    </row>
    <row r="34">
      <c r="B34" t="str">
        <v>Resíduo de Pinus</v>
      </c>
      <c r="C34" t="str">
        <v>kg</v>
      </c>
      <c r="D34">
        <f>M171</f>
        <v>1.9719578</v>
      </c>
      <c r="E34">
        <v>1</v>
      </c>
      <c r="F34">
        <v>0</v>
      </c>
      <c r="G34">
        <f>D34*E34</f>
        <v>1.9719578</v>
      </c>
      <c r="H34" t="str">
        <v>-</v>
      </c>
      <c r="I34" t="str">
        <v>IPCC (2006)</v>
      </c>
      <c r="J34" t="str">
        <v>-</v>
      </c>
      <c r="K34" t="str">
        <v>Calculado do IPCC com base nos fatores de emissão do Tier 1 e para o setor de energia</v>
      </c>
    </row>
    <row r="35">
      <c r="B35" t="str">
        <v>Resíduo de Eucaliptus</v>
      </c>
      <c r="C35" t="str">
        <v>kg</v>
      </c>
      <c r="D35">
        <f>M171</f>
        <v>1.9719578</v>
      </c>
      <c r="E35">
        <v>1</v>
      </c>
      <c r="F35">
        <v>0</v>
      </c>
      <c r="G35">
        <f>D35*E35</f>
        <v>1.9719578</v>
      </c>
      <c r="H35" t="str">
        <v>-</v>
      </c>
      <c r="I35" t="str">
        <v>IPCC (2006)</v>
      </c>
      <c r="J35" t="str">
        <v>-</v>
      </c>
      <c r="K35" t="str">
        <v>Calculado do IPCC com base nos fatores de emissão do Tier 1 e para o setor de energia</v>
      </c>
    </row>
    <row r="36">
      <c r="B36" t="str">
        <v>Carvão vegetal de eucalipto</v>
      </c>
      <c r="C36" t="str">
        <v>kg</v>
      </c>
      <c r="D36">
        <f>M172</f>
        <v>1.8810216</v>
      </c>
      <c r="E36">
        <v>1</v>
      </c>
      <c r="F36">
        <v>0</v>
      </c>
      <c r="G36">
        <f>D36*E36</f>
        <v>1.8810216</v>
      </c>
      <c r="H36" t="str">
        <v>-</v>
      </c>
      <c r="I36" t="str">
        <v>IPCC (2006)</v>
      </c>
      <c r="J36" t="str">
        <v>-</v>
      </c>
      <c r="K36" t="str">
        <v>Calculado do IPCC com base nos fatores de emissão do Tier 1 e para o setor de energia</v>
      </c>
    </row>
    <row r="37">
      <c r="B37" t="str">
        <v>Casca de Amendoin</v>
      </c>
      <c r="C37" t="str">
        <v>kg</v>
      </c>
      <c r="D37">
        <f>M173</f>
        <v>1.7439606</v>
      </c>
      <c r="E37">
        <v>1</v>
      </c>
      <c r="F37">
        <v>0</v>
      </c>
      <c r="G37">
        <f>D37*E37</f>
        <v>1.7439606</v>
      </c>
      <c r="H37" t="str">
        <v>-</v>
      </c>
      <c r="I37" t="str">
        <v>IPCC (2006)</v>
      </c>
      <c r="J37" t="str">
        <v>-</v>
      </c>
      <c r="K37" t="str">
        <v>Calculado do IPCC com base nos fatores de emissão do Tier 1 e para o setor de energia</v>
      </c>
    </row>
    <row r="38">
      <c r="B38" t="str">
        <v>Eucaliptus Virgem</v>
      </c>
      <c r="C38" t="str">
        <v>kg</v>
      </c>
      <c r="D38">
        <f>M171</f>
        <v>1.9719578</v>
      </c>
      <c r="E38">
        <v>1</v>
      </c>
      <c r="F38">
        <v>0</v>
      </c>
      <c r="G38">
        <f>D38*E38</f>
        <v>1.9719578</v>
      </c>
      <c r="H38" t="str">
        <v>-</v>
      </c>
      <c r="I38" t="str">
        <v>IPCC (2006)</v>
      </c>
      <c r="J38" t="str">
        <v>-</v>
      </c>
      <c r="K38" t="str">
        <v>Calculado do IPCC com base nos fatores de emissão do Tier 1 e para o setor de energia</v>
      </c>
    </row>
    <row r="39">
      <c r="B39" t="str">
        <v>Pinus Virgem</v>
      </c>
      <c r="C39" t="str">
        <v>kg</v>
      </c>
      <c r="D39">
        <f>M171</f>
        <v>1.9719578</v>
      </c>
      <c r="E39">
        <v>1</v>
      </c>
      <c r="F39">
        <v>0</v>
      </c>
      <c r="G39">
        <f>D39*E39</f>
        <v>1.9719578</v>
      </c>
      <c r="H39" t="str">
        <v>-</v>
      </c>
      <c r="I39" t="str">
        <v>IPCC (2006)</v>
      </c>
      <c r="J39" t="str">
        <v>-</v>
      </c>
      <c r="K39" t="str">
        <v>Calculado do IPCC com base nos fatores de emissão do Tier 1 e para o setor de energia</v>
      </c>
    </row>
    <row r="40">
      <c r="B40" t="str">
        <v xml:space="preserve">Eletricidade </v>
      </c>
    </row>
    <row r="41">
      <c r="B41" t="str">
        <v>Eletricidade da rede - mix média voltagem</v>
      </c>
      <c r="C41" t="str">
        <v>kWh</v>
      </c>
      <c r="D41">
        <f>502.31323962/1000</f>
        <v>0.5023132396</v>
      </c>
      <c r="E41">
        <v>1</v>
      </c>
      <c r="F41">
        <v>0</v>
      </c>
      <c r="G41">
        <f>D41*E41</f>
        <v>0.5023132396</v>
      </c>
      <c r="H41" t="str">
        <v>-</v>
      </c>
      <c r="I41" t="str">
        <v>ecoinvent 3.9.1</v>
      </c>
      <c r="J41" t="str">
        <v>-</v>
      </c>
      <c r="K41" t="str">
        <v>Electricity, medium voltage {BR}| market group for electricity, medium voltage | Cut-off, U</v>
      </c>
    </row>
    <row r="42">
      <c r="B42" t="str">
        <v>Eletricidade da rede - mix alta voltagem</v>
      </c>
      <c r="C42" t="str">
        <v>kWh</v>
      </c>
      <c r="D42">
        <f>128.769234/1000</f>
        <v>0.128769234</v>
      </c>
      <c r="E42">
        <v>1</v>
      </c>
      <c r="F42">
        <v>0</v>
      </c>
      <c r="G42">
        <f>D42*E42</f>
        <v>0.128769234</v>
      </c>
      <c r="H42" t="str">
        <v>-</v>
      </c>
      <c r="I42" t="str">
        <v>ecoinvent 3.9.1</v>
      </c>
      <c r="J42" t="str">
        <v>-</v>
      </c>
      <c r="K42" t="str">
        <v>Electricity, high voltage {BR}| market group for electricity, high voltage | Cut-off, U</v>
      </c>
    </row>
    <row r="43">
      <c r="B43" t="str">
        <v>Eletricidade - PCH</v>
      </c>
      <c r="C43" t="str">
        <v>kWh</v>
      </c>
      <c r="D43">
        <f>36.744998654/1000</f>
        <v>0.03674499865</v>
      </c>
      <c r="E43">
        <v>1</v>
      </c>
      <c r="F43">
        <v>0</v>
      </c>
      <c r="G43">
        <f>D43*E43</f>
        <v>0.03674499865</v>
      </c>
      <c r="H43" t="str">
        <v>-</v>
      </c>
      <c r="I43" t="str">
        <v>ecoinvent 3.9.1</v>
      </c>
      <c r="J43" t="str">
        <v>-</v>
      </c>
      <c r="K43" t="str">
        <v>Electricity, high voltage {BR-Southern grid}| electricity production, hydro, reservoir, tropical region | Cut-off, U</v>
      </c>
    </row>
    <row r="44">
      <c r="B44" t="str">
        <v>Eletricidade - biomassa</v>
      </c>
      <c r="C44" t="str">
        <v>kWh</v>
      </c>
      <c r="D44">
        <f>109.9588184/1000</f>
        <v>0.1099588184</v>
      </c>
      <c r="E44">
        <v>1</v>
      </c>
      <c r="F44">
        <v>0</v>
      </c>
      <c r="G44">
        <f>D44*E44</f>
        <v>0.1099588184</v>
      </c>
      <c r="H44" t="str">
        <v>-</v>
      </c>
      <c r="I44" t="str">
        <v>ecoinvent 3.9.1</v>
      </c>
      <c r="J44" t="str">
        <v>-</v>
      </c>
      <c r="K44" t="str">
        <v>Electricity, high voltage {BR}| sugarcane processing, modern autonomous plant | Cut-off, U</v>
      </c>
    </row>
    <row r="45">
      <c r="B45" t="str">
        <v>Eletricidade - eólica</v>
      </c>
      <c r="C45" t="str">
        <v>kWh</v>
      </c>
      <c r="D45">
        <f>0.138043213591/1000</f>
        <v>0.0001380432136</v>
      </c>
      <c r="E45">
        <v>1</v>
      </c>
      <c r="F45">
        <v>0</v>
      </c>
      <c r="G45">
        <f>D45*E45</f>
        <v>0.0001380432136</v>
      </c>
      <c r="H45" t="str">
        <v>-</v>
      </c>
      <c r="I45" t="str">
        <v>ecoinvent 3.9.1</v>
      </c>
      <c r="J45" t="str">
        <v>-</v>
      </c>
      <c r="K45" t="str">
        <v>Electricity, high voltage {BR-Southern grid}| electricity production, wind, 1-3MW turbine, onshore | Cut-off, U</v>
      </c>
    </row>
    <row r="46">
      <c r="B46" t="str">
        <v>Eletricidade - solar</v>
      </c>
      <c r="C46" t="str">
        <v>kWh</v>
      </c>
      <c r="D46">
        <f>80.08669637/1000</f>
        <v>0.08008669637</v>
      </c>
      <c r="E46">
        <v>1</v>
      </c>
      <c r="F46">
        <v>0</v>
      </c>
      <c r="G46">
        <f>D46*E46</f>
        <v>0.08008669637</v>
      </c>
      <c r="H46" t="str">
        <v>-</v>
      </c>
      <c r="I46" t="str">
        <v>ecoinvent 3.9.1</v>
      </c>
      <c r="J46" t="str">
        <v>-</v>
      </c>
      <c r="K46" t="str">
        <v>Electricity, low voltage {RoW}| electricity production, photovoltaic, 570kWp open ground installation, multi-Si | Cut-off, U</v>
      </c>
    </row>
    <row r="47">
      <c r="B47" t="str">
        <v>Combustíveis (produção)</v>
      </c>
      <c r="H47" t="str">
        <v>Massa especifica (kg/litro)</v>
      </c>
    </row>
    <row r="48">
      <c r="B48" t="str">
        <v>Diesel</v>
      </c>
      <c r="C48" t="str">
        <v>litro</v>
      </c>
      <c r="D48">
        <f>668.5/1000/H48</f>
        <v>0.7958333333</v>
      </c>
      <c r="E48">
        <v>1</v>
      </c>
      <c r="F48">
        <v>0</v>
      </c>
      <c r="G48">
        <f>D48*E48</f>
        <v>0.7958333333</v>
      </c>
      <c r="H48">
        <v>0.84</v>
      </c>
      <c r="I48" t="str">
        <v>ecoinvent 3.9.1</v>
      </c>
      <c r="J48" t="str">
        <v>-</v>
      </c>
      <c r="K48" t="str">
        <v>Diesel, low-sulfur {BR}| market for diesel, low-sulfur | Cut-off, U</v>
      </c>
    </row>
    <row r="49">
      <c r="B49" t="str">
        <v>Gás Natural</v>
      </c>
      <c r="C49" t="str">
        <v>Nm³</v>
      </c>
      <c r="D49">
        <f>334.5/1000</f>
        <v>0.3345</v>
      </c>
      <c r="E49">
        <v>1</v>
      </c>
      <c r="F49">
        <v>0</v>
      </c>
      <c r="G49">
        <f>D49*E49</f>
        <v>0.3345</v>
      </c>
      <c r="H49" t="str">
        <v>-</v>
      </c>
      <c r="I49" t="str">
        <v>ecoinvent 3.9.1</v>
      </c>
      <c r="J49" t="str">
        <v>-</v>
      </c>
      <c r="K49" t="str">
        <v>Natural gas, high pressure {BR}| market for natural gas, high pressure | Cut-off, U</v>
      </c>
    </row>
    <row r="50" xml:space="preserve">
      <c r="B50" t="str">
        <v>GLP</v>
      </c>
      <c r="C50" t="str">
        <v>kg</v>
      </c>
      <c r="D50">
        <f>721.96735612/1000</f>
        <v>0.7219673561</v>
      </c>
      <c r="E50">
        <v>1</v>
      </c>
      <c r="F50">
        <v>0</v>
      </c>
      <c r="G50">
        <f>D50*E50</f>
        <v>0.7219673561</v>
      </c>
      <c r="H50" t="str">
        <v>-</v>
      </c>
      <c r="I50" t="str">
        <v>ecoinvent 3.9.1</v>
      </c>
      <c r="J50" t="str">
        <v>-</v>
      </c>
      <c r="K50" t="str" xml:space="preserve">
        <v xml:space="preserve">Liquefied petroleum gas {BR}| liquefied petroleum gas production, petroleum refinery operation | Cut-off, U
</v>
      </c>
    </row>
    <row r="51">
      <c r="B51" t="str">
        <v>Gasolina A</v>
      </c>
      <c r="C51" t="str">
        <v>litro</v>
      </c>
      <c r="D51">
        <f>969.53793802/1000/H51</f>
        <v>1.306654903</v>
      </c>
      <c r="E51">
        <v>1</v>
      </c>
      <c r="F51">
        <v>0</v>
      </c>
      <c r="G51">
        <f>D51*E51</f>
        <v>1.306654903</v>
      </c>
      <c r="H51">
        <v>0.742</v>
      </c>
      <c r="I51" t="str">
        <v>ecoinvent 3.9.1</v>
      </c>
      <c r="J51" t="str">
        <v>-</v>
      </c>
      <c r="K51" t="str">
        <v>Petrol, low-sulfur {RoW}| market for petrol, low-sulfur | Cut-off, U</v>
      </c>
    </row>
    <row r="52">
      <c r="B52" t="str">
        <v>Etanol anidro</v>
      </c>
      <c r="C52" t="str">
        <v>litro</v>
      </c>
      <c r="D52">
        <f>969.5/1000/H52</f>
        <v>1.225663717</v>
      </c>
      <c r="E52">
        <v>1</v>
      </c>
      <c r="F52">
        <v>0</v>
      </c>
      <c r="G52">
        <f>D52*E52</f>
        <v>1.225663717</v>
      </c>
      <c r="H52">
        <v>0.791</v>
      </c>
      <c r="I52" t="str">
        <v>ecoinvent 3.9.1</v>
      </c>
      <c r="J52" t="str">
        <v>-</v>
      </c>
      <c r="K52" t="str">
        <v>Petrol, low-sulfur {RoW}| market for petrol, low-sulfur | Cut-off, U</v>
      </c>
    </row>
    <row r="53">
      <c r="B53" t="str">
        <v>Etanol hidratado</v>
      </c>
      <c r="C53" t="str">
        <v>litro</v>
      </c>
      <c r="D53">
        <f>490.7/1000/H53</f>
        <v>0.6065512979</v>
      </c>
      <c r="E53">
        <v>1</v>
      </c>
      <c r="F53">
        <v>0</v>
      </c>
      <c r="G53">
        <f>D53*E53</f>
        <v>0.6065512979</v>
      </c>
      <c r="H53">
        <v>0.809</v>
      </c>
      <c r="I53" t="str">
        <v>ecoinvent 3.9.1</v>
      </c>
      <c r="J53" t="str">
        <v>-</v>
      </c>
      <c r="K53" t="str">
        <v>Ethanol, without water, in 99.7% solution state, from fermentation {BR}| sugarcane processing, modern autonomous plant | Cut-off, U</v>
      </c>
    </row>
    <row r="54">
      <c r="B54" t="str">
        <v>Cavaco de madeira</v>
      </c>
      <c r="C54" t="str">
        <v>kg</v>
      </c>
      <c r="D54">
        <f>364.7/1000</f>
        <v>0.3647</v>
      </c>
      <c r="E54">
        <v>1</v>
      </c>
      <c r="F54">
        <v>0</v>
      </c>
      <c r="G54">
        <f>D54*E54</f>
        <v>0.3647</v>
      </c>
      <c r="H54" t="str">
        <v>-</v>
      </c>
      <c r="I54" t="str">
        <v>ecoinvent 3.9.1</v>
      </c>
      <c r="J54" t="str">
        <v>-</v>
      </c>
      <c r="K54" t="str">
        <v>Ethanol, without water, in 95% solution state, from fermentation {BR}| sugarcane processing, modern autonomous plant | Cut-off, U</v>
      </c>
    </row>
    <row r="55">
      <c r="B55" t="str">
        <v>Lenha</v>
      </c>
      <c r="C55" t="str">
        <v>kg</v>
      </c>
      <c r="D55">
        <f>26/1000</f>
        <v>0.026</v>
      </c>
      <c r="E55">
        <v>1</v>
      </c>
      <c r="F55">
        <v>0</v>
      </c>
      <c r="G55">
        <f>D55*E55</f>
        <v>0.026</v>
      </c>
      <c r="H55" t="str">
        <v>-</v>
      </c>
      <c r="I55" t="str">
        <v>ecoinvent 3.9.1</v>
      </c>
      <c r="J55" t="str">
        <v>-</v>
      </c>
      <c r="K55" t="str">
        <v>Wood chips, wet, measured as dry mass {RoW}| wood chips production, hardwood, at sawmill | Cut-off, U</v>
      </c>
    </row>
    <row r="56">
      <c r="B56" t="str">
        <v>Combustíveis (combustão)</v>
      </c>
    </row>
    <row r="57">
      <c r="B57" t="str">
        <v>Combustão de Diesel</v>
      </c>
      <c r="C57" t="str">
        <v>litro</v>
      </c>
      <c r="D57">
        <f>M164</f>
        <v>2.641293336</v>
      </c>
      <c r="E57">
        <v>1</v>
      </c>
      <c r="F57">
        <v>0</v>
      </c>
      <c r="G57">
        <f>D57*E57</f>
        <v>2.641293336</v>
      </c>
      <c r="H57" t="str">
        <v>-</v>
      </c>
      <c r="I57" t="str">
        <v>IPCC (2006)</v>
      </c>
      <c r="J57" t="str">
        <v>-</v>
      </c>
      <c r="K57" t="str">
        <v>Calculado do IPCC com base nos fatores de emissão do Tier 1 e para o setor de energia</v>
      </c>
    </row>
    <row r="58">
      <c r="B58" t="str">
        <v>Uso de Gás Natural</v>
      </c>
      <c r="C58" t="str">
        <v>Nm³</v>
      </c>
      <c r="D58">
        <f>M165</f>
        <v>1.530932397</v>
      </c>
      <c r="E58">
        <v>1</v>
      </c>
      <c r="F58">
        <v>0</v>
      </c>
      <c r="G58">
        <f>D58*E58</f>
        <v>1.530932397</v>
      </c>
      <c r="H58" t="str">
        <v>-</v>
      </c>
      <c r="I58" t="str">
        <v>IPCC (2006)</v>
      </c>
      <c r="J58" t="str">
        <v>-</v>
      </c>
      <c r="K58" t="str">
        <v>Calculado do IPCC com base nos fatores de emissão do Tier 1 e para o setor de energia</v>
      </c>
    </row>
    <row r="59">
      <c r="B59" t="str">
        <v>Uso de GLP</v>
      </c>
      <c r="C59" t="str">
        <v>kg</v>
      </c>
      <c r="D59">
        <f>M166</f>
        <v>2.934910437</v>
      </c>
      <c r="E59">
        <v>1</v>
      </c>
      <c r="F59">
        <v>0</v>
      </c>
      <c r="G59">
        <f>D59*E59</f>
        <v>2.934910437</v>
      </c>
      <c r="H59" t="str">
        <v>-</v>
      </c>
      <c r="I59" t="str">
        <v>IPCC (2006)</v>
      </c>
      <c r="J59" t="str">
        <v>-</v>
      </c>
      <c r="K59" t="str">
        <v>Calculado do IPCC com base nos fatores de emissão do Tier 1 e para o setor de energia</v>
      </c>
    </row>
    <row r="60">
      <c r="B60" t="str">
        <v>Combustão de Gasolina A</v>
      </c>
      <c r="C60" t="str">
        <v>litro</v>
      </c>
      <c r="D60">
        <f>M167</f>
        <v>2.247032975</v>
      </c>
      <c r="E60">
        <v>1</v>
      </c>
      <c r="F60">
        <v>0</v>
      </c>
      <c r="G60">
        <f>D60*E60</f>
        <v>2.247032975</v>
      </c>
      <c r="H60" t="str">
        <v>-</v>
      </c>
      <c r="I60" t="str">
        <v>IPCC (2006)</v>
      </c>
      <c r="J60" t="str">
        <v>-</v>
      </c>
      <c r="K60" t="str">
        <v>Calculado do IPCC com base nos fatores de emissão do Tier 1 e para o setor de energia</v>
      </c>
    </row>
    <row r="61">
      <c r="B61" t="str">
        <v>Combustão de Etanol anidro</v>
      </c>
      <c r="C61" t="str">
        <v>litro</v>
      </c>
      <c r="D61">
        <f>M168</f>
        <v>1.785011283</v>
      </c>
      <c r="E61">
        <v>1</v>
      </c>
      <c r="F61">
        <v>0</v>
      </c>
      <c r="G61">
        <f>D61*E61</f>
        <v>1.785011283</v>
      </c>
      <c r="H61" t="str">
        <v>-</v>
      </c>
      <c r="I61" t="str">
        <v>IPCC (2006)</v>
      </c>
      <c r="J61" t="str">
        <v>-</v>
      </c>
      <c r="K61" t="str">
        <v>Calculado do IPCC com base nos fatores de emissão do Tier 1 e para o setor de energia</v>
      </c>
    </row>
    <row r="62">
      <c r="B62" t="str">
        <v>Combustão de Etanol hidratado</v>
      </c>
      <c r="C62" t="str">
        <v>litro</v>
      </c>
      <c r="D62">
        <f>M169</f>
        <v>1.70418068</v>
      </c>
      <c r="E62">
        <v>1</v>
      </c>
      <c r="F62">
        <v>0</v>
      </c>
      <c r="G62">
        <f>D62*E62</f>
        <v>1.70418068</v>
      </c>
      <c r="H62" t="str">
        <v>-</v>
      </c>
      <c r="I62" t="str">
        <v>IPCC (2006)</v>
      </c>
      <c r="J62" t="str">
        <v>-</v>
      </c>
      <c r="K62" t="str">
        <v>Calculado do IPCC com base nos fatores de emissão do Tier 1 e para o setor de energia</v>
      </c>
    </row>
    <row r="63">
      <c r="B63" t="str">
        <v>Combustão de Cavaco de madeira</v>
      </c>
      <c r="C63" t="str">
        <v>kg</v>
      </c>
      <c r="D63">
        <f>M170</f>
        <v>1.9719578</v>
      </c>
      <c r="E63">
        <v>1</v>
      </c>
      <c r="F63">
        <v>0</v>
      </c>
      <c r="G63">
        <f>D63*E63</f>
        <v>1.9719578</v>
      </c>
      <c r="H63" t="str">
        <v>-</v>
      </c>
      <c r="I63" t="str">
        <v>IPCC (2006)</v>
      </c>
      <c r="J63" t="str">
        <v>-</v>
      </c>
      <c r="K63" t="str">
        <v>Calculado do IPCC com base nos fatores de emissão do Tier 1 e para o setor de energia</v>
      </c>
    </row>
    <row r="64">
      <c r="B64" t="str">
        <v>Combustão de Lenha</v>
      </c>
      <c r="C64" t="str">
        <v>kg</v>
      </c>
      <c r="D64">
        <f>M171</f>
        <v>1.9719578</v>
      </c>
      <c r="E64">
        <v>1</v>
      </c>
      <c r="F64">
        <v>0</v>
      </c>
      <c r="G64">
        <f>D64*E64</f>
        <v>1.9719578</v>
      </c>
      <c r="H64" t="str">
        <v>-</v>
      </c>
      <c r="I64" t="str">
        <v>IPCC (2006)</v>
      </c>
      <c r="J64" t="str">
        <v>-</v>
      </c>
      <c r="K64" t="str">
        <v>Calculado do IPCC com base nos fatores de emissão do Tier 1 e para o setor de energia</v>
      </c>
    </row>
    <row r="65">
      <c r="B65" t="str">
        <v>Insumos industriais</v>
      </c>
    </row>
    <row r="66" xml:space="preserve">
      <c r="B66" t="str">
        <v>Água</v>
      </c>
      <c r="C66" t="str">
        <v>litro</v>
      </c>
      <c r="D66">
        <f>0.0237497088/1000</f>
        <v>0.0000237497088</v>
      </c>
      <c r="E66">
        <v>1</v>
      </c>
      <c r="F66">
        <v>0</v>
      </c>
      <c r="G66">
        <f>D66*E66</f>
        <v>0.0000237497088</v>
      </c>
      <c r="H66" t="str">
        <v>-</v>
      </c>
      <c r="I66" t="str">
        <v>ecoinvent 3.9.1</v>
      </c>
      <c r="J66" t="str">
        <v>-</v>
      </c>
      <c r="K66" t="str" xml:space="preserve">
        <v xml:space="preserve">Water, decarbonised {BR}| market for water, decarbonised | Cut-off, U
</v>
      </c>
    </row>
    <row r="67">
      <c r="B67" t="str">
        <v>Óleo lubrificante</v>
      </c>
      <c r="C67" t="str">
        <v>kg</v>
      </c>
      <c r="D67">
        <f>1512.4/1000</f>
        <v>1.5124</v>
      </c>
      <c r="E67">
        <v>1</v>
      </c>
      <c r="F67">
        <v>0</v>
      </c>
      <c r="G67">
        <f>D67*E67</f>
        <v>1.5124</v>
      </c>
      <c r="H67" t="str">
        <v>-</v>
      </c>
      <c r="I67" t="str">
        <v>ecoinvent 3.9.1</v>
      </c>
      <c r="J67" t="str">
        <v>-</v>
      </c>
      <c r="K67" t="str">
        <v>Lubricating oil {RoW}| market for lubricating oil | Cut-off, U</v>
      </c>
    </row>
    <row r="68">
      <c r="B68" t="str">
        <v>Areia de sílica</v>
      </c>
      <c r="C68" t="str">
        <v>kg</v>
      </c>
      <c r="D68">
        <v>0.0357757137501474</v>
      </c>
      <c r="E68">
        <v>1</v>
      </c>
      <c r="F68">
        <v>0</v>
      </c>
      <c r="G68">
        <f>D68*E68</f>
        <v>0.03577571375</v>
      </c>
      <c r="H68" t="str">
        <v>-</v>
      </c>
      <c r="I68" t="str">
        <v>ecoinvent 3.9.1</v>
      </c>
      <c r="J68" t="str">
        <v>-</v>
      </c>
      <c r="K68" t="str">
        <v>silica sand production {RoW} | silica sand | Cutoff, U</v>
      </c>
    </row>
    <row r="69">
      <c r="B69" t="str">
        <v>Transporte</v>
      </c>
    </row>
    <row r="70">
      <c r="B70" t="str">
        <v>Transporte, caminhão 7.5-16t</v>
      </c>
      <c r="C70" t="str">
        <v>tkm</v>
      </c>
      <c r="D70">
        <f>93.697467968/1000</f>
        <v>0.09369746797</v>
      </c>
      <c r="E70">
        <v>1</v>
      </c>
      <c r="F70">
        <v>0</v>
      </c>
      <c r="G70">
        <f>D70*E70</f>
        <v>0.09369746797</v>
      </c>
      <c r="H70" t="str">
        <v>-</v>
      </c>
      <c r="I70" t="str">
        <v>ecoinvent 3.9.1</v>
      </c>
      <c r="J70" t="str">
        <v>-</v>
      </c>
      <c r="K70" t="str">
        <v>Transport, freight, lorry 7.5-16 metric ton, EURO3 {BR}| market for transport, freight, lorry 7.5-16 metric ton, EURO3 | Cut-off, U</v>
      </c>
    </row>
    <row r="71">
      <c r="B71" t="str">
        <v>Transporte caminhão 16-32t</v>
      </c>
      <c r="C71" t="str">
        <v>tkm</v>
      </c>
      <c r="D71">
        <f>98.020519375/1000</f>
        <v>0.09802051938</v>
      </c>
      <c r="E71">
        <v>1</v>
      </c>
      <c r="F71">
        <v>0</v>
      </c>
      <c r="G71">
        <f>D71*E71</f>
        <v>0.09802051938</v>
      </c>
      <c r="H71" t="str">
        <v>-</v>
      </c>
      <c r="I71" t="str">
        <v>ecoinvent 3.9.1</v>
      </c>
      <c r="J71" t="str">
        <v>-</v>
      </c>
      <c r="K71" t="str">
        <v>Transport, freight, lorry 16-32 metric ton, EURO3 {BR}| market for transport, freight, lorry 16-32 metric ton, EURO3 | Cut-off, U</v>
      </c>
    </row>
    <row r="72">
      <c r="B72" t="str">
        <v>Transporte, caminhão  &gt;32t</v>
      </c>
      <c r="C72" t="str">
        <v>tkm</v>
      </c>
      <c r="D72">
        <f>61.124489876/1000</f>
        <v>0.06112448988</v>
      </c>
      <c r="E72">
        <v>1</v>
      </c>
      <c r="F72">
        <v>0</v>
      </c>
      <c r="G72">
        <f>D72*E72</f>
        <v>0.06112448988</v>
      </c>
      <c r="H72" t="str">
        <v>-</v>
      </c>
      <c r="I72" t="str">
        <v>ecoinvent 3.9.1</v>
      </c>
      <c r="J72" t="str">
        <v>-</v>
      </c>
      <c r="K72" t="str">
        <v>Transport, freight, lorry &gt;32 metric ton, EURO3 {BR}| market for transport, freight, lorry &gt;32 metric ton, EURO3 | Cut-off, U</v>
      </c>
    </row>
    <row r="73">
      <c r="B73" t="str">
        <v>Transporte, caminhão  60m³</v>
      </c>
      <c r="C73" t="str">
        <v>tkm</v>
      </c>
      <c r="D73">
        <f>61.124489876/1000</f>
        <v>0.06112448988</v>
      </c>
      <c r="E73">
        <v>1</v>
      </c>
      <c r="F73">
        <v>0</v>
      </c>
      <c r="G73">
        <f>D73*E73</f>
        <v>0.06112448988</v>
      </c>
      <c r="H73" t="str">
        <v>-</v>
      </c>
      <c r="I73" t="str">
        <v>ecoinvent 3.9.1</v>
      </c>
      <c r="J73" t="str">
        <v>-</v>
      </c>
      <c r="K73" t="str">
        <v>Transport, freight, lorry &gt;32 metric ton, EURO3 {BR}| market for transport, freight, lorry &gt;32 metric ton, EURO3 | Cut-off, U</v>
      </c>
    </row>
    <row r="74">
      <c r="B74" t="str">
        <v>Transporte, navio</v>
      </c>
      <c r="C74" t="str">
        <v>tkm</v>
      </c>
      <c r="D74">
        <f>9.51832926726/1000</f>
        <v>0.009518329267</v>
      </c>
      <c r="E74">
        <v>1</v>
      </c>
      <c r="F74">
        <v>0</v>
      </c>
      <c r="G74">
        <f>D74*E74</f>
        <v>0.009518329267</v>
      </c>
      <c r="H74" t="str">
        <v>-</v>
      </c>
      <c r="I74" t="str">
        <v>ecoinvent 3.9.1</v>
      </c>
      <c r="J74" t="str">
        <v>-</v>
      </c>
      <c r="K74" t="str">
        <v>Transport, freight, sea, container ship {GLO}| market for transport, freight, sea, container ship | Cut-off, U</v>
      </c>
    </row>
    <row r="75">
      <c r="B75" t="str">
        <v>Transporte, balsa</v>
      </c>
      <c r="C75" t="str">
        <v>tkm</v>
      </c>
      <c r="D75">
        <f>34.9702296846/1000</f>
        <v>0.03497022968</v>
      </c>
      <c r="E75">
        <v>1</v>
      </c>
      <c r="F75">
        <v>0</v>
      </c>
      <c r="G75">
        <f>D75*E75</f>
        <v>0.03497022968</v>
      </c>
      <c r="H75" t="str">
        <v>-</v>
      </c>
      <c r="I75" t="str">
        <v>ecoinvent 3.9.1</v>
      </c>
      <c r="J75" t="str">
        <v>-</v>
      </c>
      <c r="K75" t="str">
        <v>Transport, freight, inland waterways, barge tanker {RoW}| market for transport, freight, inland waterways, barge tanker | Cut-off, U</v>
      </c>
    </row>
    <row r="76">
      <c r="B76" t="str">
        <v>Transporte, ferroviário</v>
      </c>
      <c r="C76" t="str">
        <v>tkm</v>
      </c>
      <c r="D76">
        <f>33.35804744/1000</f>
        <v>0.03335804744</v>
      </c>
      <c r="E76">
        <v>1</v>
      </c>
      <c r="F76">
        <v>0</v>
      </c>
      <c r="G76">
        <f>D76*E76</f>
        <v>0.03335804744</v>
      </c>
      <c r="H76" t="str">
        <v>-</v>
      </c>
      <c r="I76" t="str">
        <v>ecoinvent 3.9.1</v>
      </c>
      <c r="J76" t="str">
        <v>-</v>
      </c>
      <c r="K76" t="str">
        <v>Transport, freight train {RoW}| market for transport, freight train | Cut-off, U</v>
      </c>
    </row>
    <row r="78" xml:space="preserve">
      <c r="B78" t="str">
        <v>Alocação para Mudança do Uso da Terra</v>
      </c>
      <c r="C78" t="str">
        <v>Estágios do ciclo de vida</v>
      </c>
      <c r="D78" t="str">
        <v>Biomassa e Ciclo de Vida</v>
      </c>
      <c r="E78" t="str">
        <v>Biomassa</v>
      </c>
      <c r="F78" t="str">
        <v>Produto</v>
      </c>
      <c r="G78" t="str" xml:space="preserve">
        <v xml:space="preserve">Alocação   
produto (%)</v>
      </c>
      <c r="H78" t="str">
        <v>Co-produto</v>
      </c>
      <c r="I78" t="str">
        <v>Alocação co-produto(%)</v>
      </c>
      <c r="J78" t="str">
        <v>Alocação considerada para biomassa</v>
      </c>
      <c r="K78" t="str">
        <v>Fonte</v>
      </c>
      <c r="L78" t="str">
        <v>Filtro</v>
      </c>
    </row>
    <row r="80">
      <c r="B80" t="str">
        <v>Biomassa</v>
      </c>
      <c r="L80" t="str">
        <v>Filtro para lista suspensa condicional</v>
      </c>
    </row>
    <row r="81">
      <c r="B81" t="str">
        <v>Resíduo de Pinus</v>
      </c>
      <c r="C81" t="str">
        <v>Resíduos de galhos e folhas</v>
      </c>
      <c r="D81" t="str">
        <f>B81&amp;C81</f>
        <v>Resíduo de PinusResíduos de galhos e folhas</v>
      </c>
      <c r="E81" t="str">
        <v>Pinus</v>
      </c>
      <c r="F81" t="str">
        <v>Tora de madeira</v>
      </c>
      <c r="G81">
        <v>0.675</v>
      </c>
      <c r="H81" t="str">
        <v>Resíduos de galhos e folhas</v>
      </c>
      <c r="I81">
        <v>0.325</v>
      </c>
      <c r="J81">
        <f>I81</f>
        <v>0.325</v>
      </c>
      <c r="K81" t="str">
        <v>Sgarbossa et al. (2020)</v>
      </c>
      <c r="L81" t="str">
        <f>IFERROR(__xludf.DUMMYFUNCTION("filter(C81:C92,B81:B92=EngS_BioCalc!E33)"),"Resíduos de galhos e folhas")</f>
        <v>Resíduos de galhos e folhas</v>
      </c>
    </row>
    <row r="82">
      <c r="B82" t="str">
        <v>Resíduo de Pinus</v>
      </c>
      <c r="C82" t="str">
        <v xml:space="preserve">Resíduos de Casca </v>
      </c>
      <c r="D82" t="str">
        <f>B82&amp;C82</f>
        <v xml:space="preserve">Resíduo de PinusResíduos de Casca </v>
      </c>
      <c r="E82" t="str">
        <v>Pinus</v>
      </c>
      <c r="F82" t="str">
        <v>Troncos descascados</v>
      </c>
      <c r="G82">
        <f>0.9*0.675</f>
        <v>0.6075</v>
      </c>
      <c r="H82" t="str">
        <v>Casca de pinus</v>
      </c>
      <c r="I82">
        <f>0.1*0.675</f>
        <v>0.0675</v>
      </c>
      <c r="J82">
        <f>I82</f>
        <v>0.0675</v>
      </c>
      <c r="K82" t="str">
        <v>Sgarbossa et al. (2020)</v>
      </c>
      <c r="L82" t="str">
        <f>IFERROR(__xludf.DUMMYFUNCTION("""COMPUTED_VALUE"""),"Resíduos de Casca ")</f>
        <v xml:space="preserve">Resíduos de Casca </v>
      </c>
    </row>
    <row r="83">
      <c r="B83" t="str">
        <v>Resíduo de Pinus</v>
      </c>
      <c r="C83" t="str">
        <v>Resíduo de serragem</v>
      </c>
      <c r="D83" t="str">
        <f>B83&amp;C83</f>
        <v>Resíduo de PinusResíduo de serragem</v>
      </c>
      <c r="E83" t="str">
        <v>Pinus</v>
      </c>
      <c r="F83" t="str">
        <v>Madeira serrada</v>
      </c>
      <c r="G83">
        <f>0.5*0.6075</f>
        <v>0.30375</v>
      </c>
      <c r="H83" t="str">
        <v>Subproduto da serraria</v>
      </c>
      <c r="I83">
        <f>0.5*0.6075</f>
        <v>0.30375</v>
      </c>
      <c r="J83">
        <f>I83</f>
        <v>0.30375</v>
      </c>
      <c r="K83" t="str">
        <v>Sgarbossa et al. (2020)</v>
      </c>
      <c r="L83" t="str">
        <f>IFERROR(__xludf.DUMMYFUNCTION("""COMPUTED_VALUE"""),"Resíduo de serragem")</f>
        <v>Resíduo de serragem</v>
      </c>
    </row>
    <row r="84">
      <c r="B84" t="str">
        <v>Resíduo de Pinus</v>
      </c>
      <c r="C84" t="str">
        <v>Não especificado</v>
      </c>
      <c r="D84" t="str">
        <f>B84&amp;C84</f>
        <v>Resíduo de PinusNão especificado</v>
      </c>
      <c r="E84" t="str">
        <v>Pinus</v>
      </c>
      <c r="F84" t="str">
        <v>-</v>
      </c>
      <c r="G84" t="str">
        <v>-%</v>
      </c>
      <c r="H84" t="str">
        <v>Não especificado</v>
      </c>
      <c r="I84">
        <f>AVERAGE(I81:I83)</f>
        <v>0.2320833333</v>
      </c>
      <c r="J84">
        <f>I84</f>
        <v>0.2320833333</v>
      </c>
      <c r="K84" t="str">
        <v>Sgarbossa et al. (2020)</v>
      </c>
      <c r="L84" t="str">
        <f>IFERROR(__xludf.DUMMYFUNCTION("""COMPUTED_VALUE"""),"Não especificado")</f>
        <v>Não especificado</v>
      </c>
    </row>
    <row r="85">
      <c r="B85" t="str">
        <v>Resíduo de Eucaliptus</v>
      </c>
      <c r="C85" t="str">
        <v>Resíduos de galhos e folhas</v>
      </c>
      <c r="D85" t="str">
        <f>B85&amp;C85</f>
        <v>Resíduo de EucaliptusResíduos de galhos e folhas</v>
      </c>
      <c r="E85" t="str">
        <v>Eucalipto</v>
      </c>
      <c r="F85" t="str">
        <v>Tora de madeira</v>
      </c>
      <c r="G85">
        <v>0.675</v>
      </c>
      <c r="H85" t="str">
        <v>Resíduos de galhos e folhas</v>
      </c>
      <c r="I85">
        <v>0.325</v>
      </c>
      <c r="J85">
        <f>I85</f>
        <v>0.325</v>
      </c>
      <c r="K85" t="str">
        <v>Sgarbossa et al. (2020)</v>
      </c>
    </row>
    <row r="86">
      <c r="B86" t="str">
        <v>Resíduo de Eucaliptus</v>
      </c>
      <c r="C86" t="str">
        <v xml:space="preserve">Resíduos de Casca </v>
      </c>
      <c r="D86" t="str">
        <f>B86&amp;C86</f>
        <v xml:space="preserve">Resíduo de EucaliptusResíduos de Casca </v>
      </c>
      <c r="E86" t="str">
        <v>Eucalipto</v>
      </c>
      <c r="F86" t="str">
        <v>Troncos descascados</v>
      </c>
      <c r="G86">
        <f>0.9*0.675</f>
        <v>0.6075</v>
      </c>
      <c r="H86" t="str">
        <v>Casca de eucalipto</v>
      </c>
      <c r="I86">
        <f>0.1*0.675</f>
        <v>0.0675</v>
      </c>
      <c r="J86">
        <f>I86</f>
        <v>0.0675</v>
      </c>
      <c r="K86" t="str">
        <v>Sgarbossa et al. (2020)</v>
      </c>
    </row>
    <row r="87">
      <c r="B87" t="str">
        <v>Resíduo de Eucaliptus</v>
      </c>
      <c r="C87" t="str">
        <v>Resíduo de serragem</v>
      </c>
      <c r="D87" t="str">
        <f>B87&amp;C87</f>
        <v>Resíduo de EucaliptusResíduo de serragem</v>
      </c>
      <c r="E87" t="str">
        <v>Eucalipto</v>
      </c>
      <c r="F87" t="str">
        <v>Madeira serrada</v>
      </c>
      <c r="G87">
        <f>0.5*0.6075</f>
        <v>0.30375</v>
      </c>
      <c r="H87" t="str">
        <v>Subproduto da serraria</v>
      </c>
      <c r="I87">
        <f>0.5*0.6075</f>
        <v>0.30375</v>
      </c>
      <c r="J87">
        <f>I87</f>
        <v>0.30375</v>
      </c>
      <c r="K87" t="str">
        <v>Sgarbossa et al. (2020)</v>
      </c>
    </row>
    <row r="88">
      <c r="B88" t="str">
        <v>Resíduo de Eucaliptus</v>
      </c>
      <c r="C88" t="str">
        <v>Não especificado</v>
      </c>
      <c r="D88" t="str">
        <f>B88&amp;C88</f>
        <v>Resíduo de EucaliptusNão especificado</v>
      </c>
      <c r="E88" t="str">
        <v>Eucalipto</v>
      </c>
      <c r="F88" t="str">
        <v>-</v>
      </c>
      <c r="G88" t="str">
        <v>-%</v>
      </c>
      <c r="H88" t="str">
        <v>Não especificado</v>
      </c>
      <c r="I88">
        <f>AVERAGE(I85:I87)</f>
        <v>0.2320833333</v>
      </c>
      <c r="J88">
        <f>I88</f>
        <v>0.2320833333</v>
      </c>
      <c r="K88" t="str">
        <v>Sgarbossa et al. (2020)</v>
      </c>
    </row>
    <row r="89">
      <c r="B89" t="str">
        <v>Carvão vegetal de eucalipto</v>
      </c>
      <c r="C89" t="str">
        <v>Não aplica</v>
      </c>
      <c r="D89" t="str">
        <f>B89&amp;C89</f>
        <v>Carvão vegetal de eucaliptoNão aplica</v>
      </c>
      <c r="E89" t="str">
        <v>Eucalipto</v>
      </c>
      <c r="F89" t="str">
        <v>Carvão vegetal</v>
      </c>
      <c r="G89">
        <v>1</v>
      </c>
      <c r="H89" t="str">
        <v>-</v>
      </c>
      <c r="I89">
        <v>0</v>
      </c>
      <c r="J89">
        <f>G89</f>
        <v>1</v>
      </c>
      <c r="K89" t="str">
        <v>-</v>
      </c>
    </row>
    <row r="90">
      <c r="B90" t="str">
        <v>Casca de Amendoin</v>
      </c>
      <c r="C90" t="str">
        <v>Não aplica</v>
      </c>
      <c r="D90" t="str">
        <f>B90&amp;C90</f>
        <v>Casca de AmendoinNão aplica</v>
      </c>
      <c r="E90" t="str">
        <v>Amendoin</v>
      </c>
      <c r="F90" t="str">
        <v>Amendoim</v>
      </c>
      <c r="G90">
        <v>0.77</v>
      </c>
      <c r="H90" t="str">
        <v>Casca de amendoim</v>
      </c>
      <c r="I90">
        <v>0.23</v>
      </c>
      <c r="J90">
        <f>I90</f>
        <v>0.23</v>
      </c>
      <c r="K90" t="str">
        <v>Ecoinvent 3.10</v>
      </c>
    </row>
    <row r="91">
      <c r="B91" t="str">
        <v>Eucaliptus Virgem</v>
      </c>
      <c r="C91" t="str">
        <v>Não aplica</v>
      </c>
      <c r="D91" t="str">
        <f>B91&amp;C91</f>
        <v>Eucaliptus VirgemNão aplica</v>
      </c>
      <c r="E91" t="str">
        <v>Eucalipto</v>
      </c>
      <c r="F91" t="str">
        <v>Eucaliptus virgem</v>
      </c>
      <c r="G91">
        <v>0.675</v>
      </c>
      <c r="H91" t="str">
        <v>Resíduo de eucaliptus</v>
      </c>
      <c r="I91">
        <v>0.325</v>
      </c>
      <c r="J91">
        <f>G91</f>
        <v>0.675</v>
      </c>
      <c r="K91" t="str">
        <v>Sgarbossa et al. (2020)</v>
      </c>
    </row>
    <row r="92">
      <c r="B92" t="str">
        <v>Pinus Virgem</v>
      </c>
      <c r="C92" t="str">
        <v>Não aplica</v>
      </c>
      <c r="D92" t="str">
        <f>B92&amp;C92</f>
        <v>Pinus VirgemNão aplica</v>
      </c>
      <c r="E92" t="str">
        <v>Pinus</v>
      </c>
      <c r="F92" t="str">
        <v>Pinus virgm</v>
      </c>
      <c r="G92">
        <v>0.675</v>
      </c>
      <c r="H92" t="str">
        <v>Resíduo de pinus</v>
      </c>
      <c r="I92">
        <v>0.325</v>
      </c>
      <c r="J92">
        <f>G92</f>
        <v>0.675</v>
      </c>
      <c r="K92" t="str">
        <v>Sgarbossa et al. (2020)</v>
      </c>
    </row>
    <row r="94">
      <c r="B94" t="str">
        <v>Mudança do Uso da Terra</v>
      </c>
    </row>
    <row r="95">
      <c r="B95" t="str">
        <v xml:space="preserve">Estado </v>
      </c>
      <c r="C95" t="str">
        <v>Pinus</v>
      </c>
      <c r="G95" t="str">
        <v>Eucalipto</v>
      </c>
      <c r="K95" t="str">
        <v>Amendoin</v>
      </c>
      <c r="O95" t="str">
        <v>Referência</v>
      </c>
    </row>
    <row r="96">
      <c r="C96" t="str">
        <v>Taxa de emissão (tCO2-há-yr-1)</v>
      </c>
      <c r="D96" t="str">
        <v>Tempo de produção em anos (Valor estimado)</v>
      </c>
      <c r="E96" t="str">
        <v>Produtividade (kg\ha)</v>
      </c>
      <c r="F96" t="str">
        <v>Emissão Final (tCO2\kgPinus)</v>
      </c>
      <c r="G96" t="str">
        <v>Taxa de emissão (tCO2-há-yr-1)</v>
      </c>
      <c r="H96" t="str">
        <v>Tempo de produção em anos (Valor estimado)</v>
      </c>
      <c r="I96" t="str">
        <v>Produtividade (kg\ha)</v>
      </c>
      <c r="J96" t="str">
        <v>Emissão Final (tCO2\kgEucalipto)</v>
      </c>
      <c r="K96" t="str">
        <v>Taxa de emissão (tCO2-há-yr-1)</v>
      </c>
      <c r="L96" t="str">
        <v>Tempo de produção em anos</v>
      </c>
      <c r="M96" t="str">
        <v>Produtividade (kg\ha)</v>
      </c>
      <c r="N96" t="str">
        <v>Emissão Final (tCO2\kgAmendoim)</v>
      </c>
    </row>
    <row r="97">
      <c r="B97" t="str">
        <v>Acre</v>
      </c>
      <c r="C97">
        <v>0</v>
      </c>
      <c r="D97">
        <v>15</v>
      </c>
      <c r="E97">
        <v>15000</v>
      </c>
      <c r="F97">
        <f>C97*D97/E97</f>
        <v>0</v>
      </c>
      <c r="G97">
        <v>0</v>
      </c>
      <c r="H97">
        <v>7</v>
      </c>
      <c r="I97">
        <v>20631.33</v>
      </c>
      <c r="J97">
        <f>G97*H97/I97</f>
        <v>0</v>
      </c>
      <c r="K97">
        <v>1.7</v>
      </c>
      <c r="L97">
        <f>100/365</f>
        <v>0.2739726027</v>
      </c>
      <c r="M97">
        <v>2873</v>
      </c>
      <c r="N97">
        <f>K97*L97/M97</f>
        <v>0.0001621139661</v>
      </c>
      <c r="O97" t="str">
        <v>BRLUC 2.0 (Brazilian Land Use Change)</v>
      </c>
    </row>
    <row r="98">
      <c r="B98" t="str">
        <v>Alagoas</v>
      </c>
      <c r="C98">
        <v>0</v>
      </c>
      <c r="D98">
        <v>15</v>
      </c>
      <c r="E98">
        <v>15000</v>
      </c>
      <c r="F98">
        <f>C98*D98/E98</f>
        <v>0</v>
      </c>
      <c r="G98">
        <v>0</v>
      </c>
      <c r="H98">
        <v>7</v>
      </c>
      <c r="I98">
        <v>20631.33</v>
      </c>
      <c r="J98">
        <f>G98*H98/I98</f>
        <v>0</v>
      </c>
      <c r="K98">
        <v>0</v>
      </c>
      <c r="L98">
        <f>100/365</f>
        <v>0.2739726027</v>
      </c>
      <c r="M98">
        <v>2873</v>
      </c>
      <c r="N98">
        <f>K98*L98/M98</f>
        <v>0</v>
      </c>
      <c r="O98" t="str">
        <v>BRLUC 2.0 (Brazilian Land Use Change)</v>
      </c>
    </row>
    <row r="99">
      <c r="B99" t="str">
        <v>Amapá</v>
      </c>
      <c r="C99">
        <v>7.72</v>
      </c>
      <c r="D99">
        <v>15</v>
      </c>
      <c r="E99">
        <v>15000</v>
      </c>
      <c r="F99">
        <f>C99*D99/E99</f>
        <v>0.00772</v>
      </c>
      <c r="G99">
        <v>7.72</v>
      </c>
      <c r="H99">
        <v>7</v>
      </c>
      <c r="I99">
        <v>20631.33</v>
      </c>
      <c r="J99">
        <f>G99*H99/I99</f>
        <v>0.00261931732</v>
      </c>
      <c r="K99">
        <v>1.05</v>
      </c>
      <c r="L99">
        <f>100/365</f>
        <v>0.2739726027</v>
      </c>
      <c r="M99">
        <v>2873</v>
      </c>
      <c r="N99">
        <f>K99*L99/M99</f>
        <v>0.0001001292144</v>
      </c>
      <c r="O99" t="str">
        <v>BRLUC 2.0 (Brazilian Land Use Change)</v>
      </c>
    </row>
    <row r="100">
      <c r="B100" t="str">
        <v>Amazonas</v>
      </c>
      <c r="C100">
        <v>0</v>
      </c>
      <c r="D100">
        <v>15</v>
      </c>
      <c r="E100">
        <v>15000</v>
      </c>
      <c r="F100">
        <f>C100*D100/E100</f>
        <v>0</v>
      </c>
      <c r="G100">
        <v>0</v>
      </c>
      <c r="H100">
        <v>7</v>
      </c>
      <c r="I100">
        <v>20631.33</v>
      </c>
      <c r="J100">
        <f>G100*H100/I100</f>
        <v>0</v>
      </c>
      <c r="K100">
        <v>0</v>
      </c>
      <c r="L100">
        <f>100/365</f>
        <v>0.2739726027</v>
      </c>
      <c r="M100">
        <v>2873</v>
      </c>
      <c r="N100">
        <f>K100*L100/M100</f>
        <v>0</v>
      </c>
      <c r="O100" t="str">
        <v>BRLUC 2.0 (Brazilian Land Use Change)</v>
      </c>
    </row>
    <row r="101">
      <c r="B101" t="str">
        <v>Bahia</v>
      </c>
      <c r="C101">
        <v>-0.59</v>
      </c>
      <c r="D101">
        <v>15</v>
      </c>
      <c r="E101">
        <v>15000</v>
      </c>
      <c r="F101">
        <f>C101*D101/E101</f>
        <v>-0.00059</v>
      </c>
      <c r="G101">
        <v>-0.59</v>
      </c>
      <c r="H101">
        <v>7</v>
      </c>
      <c r="I101">
        <v>20631.33</v>
      </c>
      <c r="J101">
        <f>G101*H101/I101</f>
        <v>-0.0002001809869</v>
      </c>
      <c r="K101">
        <v>0</v>
      </c>
      <c r="L101">
        <f>100/365</f>
        <v>0.2739726027</v>
      </c>
      <c r="M101">
        <v>2873</v>
      </c>
      <c r="N101">
        <f>K101*L101/M101</f>
        <v>0</v>
      </c>
      <c r="O101" t="str">
        <v>BRLUC 2.0 (Brazilian Land Use Change)</v>
      </c>
    </row>
    <row r="102">
      <c r="B102" t="str">
        <v>Ceará</v>
      </c>
      <c r="C102">
        <v>0</v>
      </c>
      <c r="D102">
        <v>15</v>
      </c>
      <c r="E102">
        <v>15000</v>
      </c>
      <c r="F102">
        <f>C102*D102/E102</f>
        <v>0</v>
      </c>
      <c r="G102">
        <v>0</v>
      </c>
      <c r="H102">
        <v>7</v>
      </c>
      <c r="I102">
        <v>20631.33</v>
      </c>
      <c r="J102">
        <f>G102*H102/I102</f>
        <v>0</v>
      </c>
      <c r="K102">
        <v>2.05</v>
      </c>
      <c r="L102">
        <f>100/365</f>
        <v>0.2739726027</v>
      </c>
      <c r="M102">
        <v>2873</v>
      </c>
      <c r="N102">
        <f>K102*L102/M102</f>
        <v>0.0001954903709</v>
      </c>
      <c r="O102" t="str">
        <v>BRLUC 2.0 (Brazilian Land Use Change)</v>
      </c>
    </row>
    <row r="103">
      <c r="B103" t="str">
        <v>Distrito Federal</v>
      </c>
      <c r="C103">
        <v>-1.19</v>
      </c>
      <c r="D103">
        <v>15</v>
      </c>
      <c r="E103">
        <v>15000</v>
      </c>
      <c r="F103">
        <f>C103*D103/E103</f>
        <v>-0.00119</v>
      </c>
      <c r="G103">
        <v>-1.19</v>
      </c>
      <c r="H103">
        <v>7</v>
      </c>
      <c r="I103">
        <v>20631.33</v>
      </c>
      <c r="J103">
        <f>G103*H103/I103</f>
        <v>-0.0004037548718</v>
      </c>
      <c r="K103">
        <v>1.56</v>
      </c>
      <c r="L103">
        <f>100/365</f>
        <v>0.2739726027</v>
      </c>
      <c r="M103">
        <v>2873</v>
      </c>
      <c r="N103">
        <f>K103*L103/M103</f>
        <v>0.0001487634042</v>
      </c>
      <c r="O103" t="str">
        <v>BRLUC 2.0 (Brazilian Land Use Change)</v>
      </c>
    </row>
    <row r="104">
      <c r="B104" t="str">
        <v>Espírito Santo</v>
      </c>
      <c r="C104">
        <v>-0.34</v>
      </c>
      <c r="D104">
        <v>15</v>
      </c>
      <c r="E104">
        <v>15000</v>
      </c>
      <c r="F104">
        <f>C104*D104/E104</f>
        <v>-0.00034</v>
      </c>
      <c r="G104">
        <v>-0.34</v>
      </c>
      <c r="H104">
        <v>7</v>
      </c>
      <c r="I104">
        <v>20631.33</v>
      </c>
      <c r="J104">
        <f>G104*H104/I104</f>
        <v>-0.0001153585348</v>
      </c>
      <c r="K104">
        <v>0</v>
      </c>
      <c r="L104">
        <f>100/365</f>
        <v>0.2739726027</v>
      </c>
      <c r="M104">
        <v>2873</v>
      </c>
      <c r="N104">
        <f>K104*L104/M104</f>
        <v>0</v>
      </c>
      <c r="O104" t="str">
        <v>BRLUC 2.0 (Brazilian Land Use Change)</v>
      </c>
    </row>
    <row r="105">
      <c r="B105" t="str">
        <v>Goiás</v>
      </c>
      <c r="C105">
        <v>-2.09</v>
      </c>
      <c r="D105">
        <v>15</v>
      </c>
      <c r="E105">
        <v>15000</v>
      </c>
      <c r="F105">
        <f>C105*D105/E105</f>
        <v>-0.00209</v>
      </c>
      <c r="G105">
        <v>-2.09</v>
      </c>
      <c r="H105">
        <v>7</v>
      </c>
      <c r="I105">
        <v>20631.33</v>
      </c>
      <c r="J105">
        <f>G105*H105/I105</f>
        <v>-0.0007091156993</v>
      </c>
      <c r="K105">
        <v>4.2</v>
      </c>
      <c r="L105">
        <f>100/365</f>
        <v>0.2739726027</v>
      </c>
      <c r="M105">
        <v>2873</v>
      </c>
      <c r="N105">
        <f>K105*L105/M105</f>
        <v>0.0004005168575</v>
      </c>
      <c r="O105" t="str">
        <v>BRLUC 2.0 (Brazilian Land Use Change)</v>
      </c>
    </row>
    <row r="106">
      <c r="B106" t="str">
        <v>Maranhão</v>
      </c>
      <c r="C106">
        <v>8.73</v>
      </c>
      <c r="D106">
        <v>15</v>
      </c>
      <c r="E106">
        <v>15000</v>
      </c>
      <c r="F106">
        <f>C106*D106/E106</f>
        <v>0.00873</v>
      </c>
      <c r="G106">
        <v>8.73</v>
      </c>
      <c r="H106">
        <v>7</v>
      </c>
      <c r="I106">
        <v>20631.33</v>
      </c>
      <c r="J106">
        <f>G106*H106/I106</f>
        <v>0.002962000026</v>
      </c>
      <c r="K106">
        <v>0</v>
      </c>
      <c r="L106">
        <f>100/365</f>
        <v>0.2739726027</v>
      </c>
      <c r="M106">
        <v>2873</v>
      </c>
      <c r="N106">
        <f>K106*L106/M106</f>
        <v>0</v>
      </c>
      <c r="O106" t="str">
        <v>BRLUC 2.0 (Brazilian Land Use Change)</v>
      </c>
    </row>
    <row r="107">
      <c r="B107" t="str">
        <v>Mato Grosso</v>
      </c>
      <c r="C107">
        <v>-2.29</v>
      </c>
      <c r="D107">
        <v>15</v>
      </c>
      <c r="E107">
        <v>15000</v>
      </c>
      <c r="F107">
        <f>C107*D107/E107</f>
        <v>-0.00229</v>
      </c>
      <c r="G107">
        <v>-2.29</v>
      </c>
      <c r="H107">
        <v>7</v>
      </c>
      <c r="I107">
        <v>20631.33</v>
      </c>
      <c r="J107">
        <f>G107*H107/I107</f>
        <v>-0.0007769736609</v>
      </c>
      <c r="K107">
        <v>9.71</v>
      </c>
      <c r="L107">
        <f>100/365</f>
        <v>0.2739726027</v>
      </c>
      <c r="M107">
        <v>2873</v>
      </c>
      <c r="N107">
        <f>K107*L107/M107</f>
        <v>0.00092595683</v>
      </c>
      <c r="O107" t="str">
        <v>BRLUC 2.0 (Brazilian Land Use Change)</v>
      </c>
    </row>
    <row r="108">
      <c r="B108" t="str">
        <v>Mato Grosso do Sul</v>
      </c>
      <c r="C108">
        <v>-2.65</v>
      </c>
      <c r="D108">
        <v>15</v>
      </c>
      <c r="E108">
        <v>15000</v>
      </c>
      <c r="F108">
        <f>C108*D108/E108</f>
        <v>-0.00265</v>
      </c>
      <c r="G108">
        <v>-2.65</v>
      </c>
      <c r="H108">
        <v>7</v>
      </c>
      <c r="I108">
        <v>20631.33</v>
      </c>
      <c r="J108">
        <f>G108*H108/I108</f>
        <v>-0.0008991179919</v>
      </c>
      <c r="K108">
        <v>2.55</v>
      </c>
      <c r="L108">
        <f>100/365</f>
        <v>0.2739726027</v>
      </c>
      <c r="M108">
        <v>2873</v>
      </c>
      <c r="N108">
        <f>K108*L108/M108</f>
        <v>0.0002431709492</v>
      </c>
      <c r="O108" t="str">
        <v>BRLUC 2.0 (Brazilian Land Use Change)</v>
      </c>
    </row>
    <row r="109">
      <c r="B109" t="str">
        <v>Minas Gerais</v>
      </c>
      <c r="C109">
        <v>0.38</v>
      </c>
      <c r="D109">
        <v>15</v>
      </c>
      <c r="E109">
        <v>15000</v>
      </c>
      <c r="F109">
        <f>C109*D109/E109</f>
        <v>0.00038</v>
      </c>
      <c r="G109">
        <v>0.38</v>
      </c>
      <c r="H109">
        <v>7</v>
      </c>
      <c r="I109">
        <v>20631.33</v>
      </c>
      <c r="J109">
        <f>G109*H109/I109</f>
        <v>0.0001289301271</v>
      </c>
      <c r="K109">
        <v>1.49</v>
      </c>
      <c r="L109">
        <f>100/365</f>
        <v>0.2739726027</v>
      </c>
      <c r="M109">
        <v>2873</v>
      </c>
      <c r="N109">
        <f>K109*L109/M109</f>
        <v>0.0001420881232</v>
      </c>
      <c r="O109" t="str">
        <v>BRLUC 2.0 (Brazilian Land Use Change)</v>
      </c>
    </row>
    <row r="110">
      <c r="B110" t="str">
        <v>Pará</v>
      </c>
      <c r="C110">
        <v>12.23</v>
      </c>
      <c r="D110">
        <v>15</v>
      </c>
      <c r="E110">
        <v>15000</v>
      </c>
      <c r="F110">
        <f>C110*D110/E110</f>
        <v>0.01223</v>
      </c>
      <c r="G110">
        <v>12.23</v>
      </c>
      <c r="H110">
        <v>7</v>
      </c>
      <c r="I110">
        <v>20631.33</v>
      </c>
      <c r="J110">
        <f>G110*H110/I110</f>
        <v>0.004149514355</v>
      </c>
      <c r="K110">
        <v>1.79</v>
      </c>
      <c r="L110">
        <f>100/365</f>
        <v>0.2739726027</v>
      </c>
      <c r="M110">
        <v>2873</v>
      </c>
      <c r="N110">
        <f>K110*L110/M110</f>
        <v>0.0001706964702</v>
      </c>
      <c r="O110" t="str">
        <v>BRLUC 2.0 (Brazilian Land Use Change)</v>
      </c>
    </row>
    <row r="111">
      <c r="B111" t="str">
        <v>Paraíba</v>
      </c>
      <c r="C111">
        <v>-4.43</v>
      </c>
      <c r="D111">
        <v>15</v>
      </c>
      <c r="E111">
        <v>15000</v>
      </c>
      <c r="F111">
        <f>C111*D111/E111</f>
        <v>-0.00443</v>
      </c>
      <c r="G111">
        <v>-4.43</v>
      </c>
      <c r="H111">
        <v>7</v>
      </c>
      <c r="I111">
        <v>20631.33</v>
      </c>
      <c r="J111">
        <f>G111*H111/I111</f>
        <v>-0.001503053851</v>
      </c>
      <c r="K111">
        <v>16.7</v>
      </c>
      <c r="L111">
        <f>100/365</f>
        <v>0.2739726027</v>
      </c>
      <c r="M111">
        <v>2873</v>
      </c>
      <c r="N111">
        <f>K111*L111/M111</f>
        <v>0.001592531314</v>
      </c>
      <c r="O111" t="str">
        <v>BRLUC 2.0 (Brazilian Land Use Change)</v>
      </c>
    </row>
    <row r="112">
      <c r="B112" t="str">
        <v>Paraná</v>
      </c>
      <c r="C112">
        <v>0.01</v>
      </c>
      <c r="D112">
        <v>15</v>
      </c>
      <c r="E112">
        <v>15000</v>
      </c>
      <c r="F112">
        <f>C112*D112/E112</f>
        <v>0.00001</v>
      </c>
      <c r="G112">
        <v>0.01</v>
      </c>
      <c r="H112">
        <v>7</v>
      </c>
      <c r="I112">
        <v>20631.33</v>
      </c>
      <c r="J112">
        <f>G112*H112/I112</f>
        <v>0.000003392898083</v>
      </c>
      <c r="K112">
        <v>0.72</v>
      </c>
      <c r="L112">
        <f>100/365</f>
        <v>0.2739726027</v>
      </c>
      <c r="M112">
        <v>2873</v>
      </c>
      <c r="N112">
        <f>K112*L112/M112</f>
        <v>0.00006866003271</v>
      </c>
      <c r="O112" t="str">
        <v>BRLUC 2.0 (Brazilian Land Use Change)</v>
      </c>
    </row>
    <row r="113">
      <c r="B113" t="str">
        <v>Pernambuco</v>
      </c>
      <c r="C113">
        <v>-4.06</v>
      </c>
      <c r="D113">
        <v>15</v>
      </c>
      <c r="E113">
        <v>15000</v>
      </c>
      <c r="F113">
        <f>C113*D113/E113</f>
        <v>-0.00406</v>
      </c>
      <c r="G113">
        <v>-4.06</v>
      </c>
      <c r="H113">
        <v>7</v>
      </c>
      <c r="I113">
        <v>20631.33</v>
      </c>
      <c r="J113">
        <f>G113*H113/I113</f>
        <v>-0.001377516622</v>
      </c>
      <c r="K113">
        <v>1.36</v>
      </c>
      <c r="L113">
        <f>100/365</f>
        <v>0.2739726027</v>
      </c>
      <c r="M113">
        <v>2873</v>
      </c>
      <c r="N113">
        <f>K113*L113/M113</f>
        <v>0.0001296911729</v>
      </c>
      <c r="O113" t="str">
        <v>BRLUC 2.0 (Brazilian Land Use Change)</v>
      </c>
    </row>
    <row r="114">
      <c r="B114" t="str">
        <v>Piauí</v>
      </c>
      <c r="C114">
        <v>-1.45</v>
      </c>
      <c r="D114">
        <v>15</v>
      </c>
      <c r="E114">
        <v>15000</v>
      </c>
      <c r="F114">
        <f>C114*D114/E114</f>
        <v>-0.00145</v>
      </c>
      <c r="G114">
        <v>-1.45</v>
      </c>
      <c r="H114">
        <v>7</v>
      </c>
      <c r="I114">
        <v>20631.33</v>
      </c>
      <c r="J114">
        <f>G114*H114/I114</f>
        <v>-0.000491970222</v>
      </c>
      <c r="K114">
        <v>0.48</v>
      </c>
      <c r="L114">
        <f>100/365</f>
        <v>0.2739726027</v>
      </c>
      <c r="M114">
        <v>2873</v>
      </c>
      <c r="N114">
        <f>K114*L114/M114</f>
        <v>0.00004577335514</v>
      </c>
      <c r="O114" t="str">
        <v>BRLUC 2.0 (Brazilian Land Use Change)</v>
      </c>
    </row>
    <row r="115">
      <c r="B115" t="str">
        <v>Rio de Janeiro</v>
      </c>
      <c r="C115">
        <v>3.79</v>
      </c>
      <c r="D115">
        <v>15</v>
      </c>
      <c r="E115">
        <v>15000</v>
      </c>
      <c r="F115">
        <f>C115*D115/E115</f>
        <v>0.00379</v>
      </c>
      <c r="G115">
        <v>3.79</v>
      </c>
      <c r="H115">
        <v>7</v>
      </c>
      <c r="I115">
        <v>20631.33</v>
      </c>
      <c r="J115">
        <f>G115*H115/I115</f>
        <v>0.001285908373</v>
      </c>
      <c r="K115">
        <v>1.59</v>
      </c>
      <c r="L115">
        <f>100/365</f>
        <v>0.2739726027</v>
      </c>
      <c r="M115">
        <v>2873</v>
      </c>
      <c r="N115">
        <f>K115*L115/M115</f>
        <v>0.0001516242389</v>
      </c>
      <c r="O115" t="str">
        <v>BRLUC 2.0 (Brazilian Land Use Change)</v>
      </c>
    </row>
    <row r="116">
      <c r="B116" t="str">
        <v>Rio Grande do Norte</v>
      </c>
      <c r="C116">
        <v>0</v>
      </c>
      <c r="D116">
        <v>15</v>
      </c>
      <c r="E116">
        <v>15000</v>
      </c>
      <c r="F116">
        <f>C116*D116/E116</f>
        <v>0</v>
      </c>
      <c r="G116">
        <v>0</v>
      </c>
      <c r="H116">
        <v>7</v>
      </c>
      <c r="I116">
        <v>20631.33</v>
      </c>
      <c r="J116">
        <f>G116*H116/I116</f>
        <v>0</v>
      </c>
      <c r="K116">
        <v>0</v>
      </c>
      <c r="L116">
        <f>100/365</f>
        <v>0.2739726027</v>
      </c>
      <c r="M116">
        <v>2873</v>
      </c>
      <c r="N116">
        <f>K116*L116/M116</f>
        <v>0</v>
      </c>
      <c r="O116" t="str">
        <v>BRLUC 2.0 (Brazilian Land Use Change)</v>
      </c>
    </row>
    <row r="117">
      <c r="B117" t="str">
        <v>Rio Grande do Sul</v>
      </c>
      <c r="C117">
        <v>0.5</v>
      </c>
      <c r="D117">
        <v>15</v>
      </c>
      <c r="E117">
        <v>15000</v>
      </c>
      <c r="F117">
        <f>C117*D117/E117</f>
        <v>0.0005</v>
      </c>
      <c r="G117">
        <v>0.5</v>
      </c>
      <c r="H117">
        <v>7</v>
      </c>
      <c r="I117">
        <v>20631.33</v>
      </c>
      <c r="J117">
        <f>G117*H117/I117</f>
        <v>0.0001696449041</v>
      </c>
      <c r="K117">
        <v>0</v>
      </c>
      <c r="L117">
        <f>100/365</f>
        <v>0.2739726027</v>
      </c>
      <c r="M117">
        <v>2873</v>
      </c>
      <c r="N117">
        <f>K117*L117/M117</f>
        <v>0</v>
      </c>
      <c r="O117" t="str">
        <v>BRLUC 2.0 (Brazilian Land Use Change)</v>
      </c>
    </row>
    <row r="118">
      <c r="B118" t="str">
        <v>Rondônia</v>
      </c>
      <c r="C118">
        <v>15.79</v>
      </c>
      <c r="D118">
        <v>15</v>
      </c>
      <c r="E118">
        <v>15000</v>
      </c>
      <c r="F118">
        <f>C118*D118/E118</f>
        <v>0.01579</v>
      </c>
      <c r="G118">
        <v>15.79</v>
      </c>
      <c r="H118">
        <v>7</v>
      </c>
      <c r="I118">
        <v>20631.33</v>
      </c>
      <c r="J118">
        <f>G118*H118/I118</f>
        <v>0.005357386073</v>
      </c>
      <c r="K118">
        <v>1.64</v>
      </c>
      <c r="L118">
        <f>100/365</f>
        <v>0.2739726027</v>
      </c>
      <c r="M118">
        <v>2873</v>
      </c>
      <c r="N118">
        <f>K118*L118/M118</f>
        <v>0.0001563922967</v>
      </c>
      <c r="O118" t="str">
        <v>BRLUC 2.0 (Brazilian Land Use Change)</v>
      </c>
    </row>
    <row r="119">
      <c r="B119" t="str">
        <v>Roraima</v>
      </c>
      <c r="C119">
        <v>11.18</v>
      </c>
      <c r="D119">
        <v>15</v>
      </c>
      <c r="E119">
        <v>15000</v>
      </c>
      <c r="F119">
        <f>C119*D119/E119</f>
        <v>0.01118</v>
      </c>
      <c r="G119">
        <v>11.18</v>
      </c>
      <c r="H119">
        <v>7</v>
      </c>
      <c r="I119">
        <v>20631.33</v>
      </c>
      <c r="J119">
        <f>G119*H119/I119</f>
        <v>0.003793260056</v>
      </c>
      <c r="K119">
        <v>6.09</v>
      </c>
      <c r="L119">
        <f>100/365</f>
        <v>0.2739726027</v>
      </c>
      <c r="M119">
        <v>2873</v>
      </c>
      <c r="N119">
        <f>K119*L119/M119</f>
        <v>0.0005807494433</v>
      </c>
      <c r="O119" t="str">
        <v>BRLUC 2.0 (Brazilian Land Use Change)</v>
      </c>
    </row>
    <row r="120">
      <c r="B120" t="str">
        <v>Santa Catarina</v>
      </c>
      <c r="C120">
        <v>1.47</v>
      </c>
      <c r="D120">
        <v>15</v>
      </c>
      <c r="E120">
        <v>15000</v>
      </c>
      <c r="F120">
        <f>C120*D120/E120</f>
        <v>0.00147</v>
      </c>
      <c r="G120">
        <v>1.47</v>
      </c>
      <c r="H120">
        <v>7</v>
      </c>
      <c r="I120">
        <v>20631.33</v>
      </c>
      <c r="J120">
        <f>G120*H120/I120</f>
        <v>0.0004987560182</v>
      </c>
      <c r="K120">
        <v>0</v>
      </c>
      <c r="L120">
        <f>100/365</f>
        <v>0.2739726027</v>
      </c>
      <c r="M120">
        <v>2873</v>
      </c>
      <c r="N120">
        <f>K120*L120/M120</f>
        <v>0</v>
      </c>
      <c r="O120" t="str">
        <v>BRLUC 2.0 (Brazilian Land Use Change)</v>
      </c>
    </row>
    <row r="121">
      <c r="B121" t="str">
        <v>São Paulo</v>
      </c>
      <c r="C121">
        <v>-0.48</v>
      </c>
      <c r="D121">
        <v>15</v>
      </c>
      <c r="E121">
        <v>15000</v>
      </c>
      <c r="F121">
        <f>C121*D121/E121</f>
        <v>-0.00048</v>
      </c>
      <c r="G121">
        <v>-0.48</v>
      </c>
      <c r="H121">
        <v>7</v>
      </c>
      <c r="I121">
        <v>20631.33</v>
      </c>
      <c r="J121">
        <f>G121*H121/I121</f>
        <v>-0.000162859108</v>
      </c>
      <c r="K121">
        <v>1.48</v>
      </c>
      <c r="L121">
        <f>100/365</f>
        <v>0.2739726027</v>
      </c>
      <c r="M121">
        <v>2873</v>
      </c>
      <c r="N121">
        <f>K121*L121/M121</f>
        <v>0.0001411345117</v>
      </c>
      <c r="O121" t="str">
        <v>BRLUC 2.0 (Brazilian Land Use Change)</v>
      </c>
    </row>
    <row r="122">
      <c r="B122" t="str">
        <v>Sergipe</v>
      </c>
      <c r="C122">
        <v>-3.09</v>
      </c>
      <c r="D122">
        <v>15</v>
      </c>
      <c r="E122">
        <v>15000</v>
      </c>
      <c r="F122">
        <f>C122*D122/E122</f>
        <v>-0.00309</v>
      </c>
      <c r="G122">
        <v>-3.09</v>
      </c>
      <c r="H122">
        <v>7</v>
      </c>
      <c r="I122">
        <v>20631.33</v>
      </c>
      <c r="J122">
        <f>G122*H122/I122</f>
        <v>-0.001048405508</v>
      </c>
      <c r="K122">
        <v>1.82</v>
      </c>
      <c r="L122">
        <f>100/365</f>
        <v>0.2739726027</v>
      </c>
      <c r="M122">
        <v>2873</v>
      </c>
      <c r="N122">
        <f>K122*L122/M122</f>
        <v>0.0001735573049</v>
      </c>
      <c r="O122" t="str">
        <v>BRLUC 2.0 (Brazilian Land Use Change)</v>
      </c>
    </row>
    <row r="123">
      <c r="B123" t="str">
        <v>Tocantins</v>
      </c>
      <c r="C123">
        <v>9.16</v>
      </c>
      <c r="D123">
        <v>15</v>
      </c>
      <c r="E123">
        <v>15000</v>
      </c>
      <c r="F123">
        <f>C123*D123/E123</f>
        <v>0.00916</v>
      </c>
      <c r="G123">
        <v>9.16</v>
      </c>
      <c r="H123">
        <v>7</v>
      </c>
      <c r="I123">
        <v>20631.33</v>
      </c>
      <c r="J123">
        <f>G123*H123/I123</f>
        <v>0.003107894644</v>
      </c>
      <c r="K123">
        <v>2.1</v>
      </c>
      <c r="L123">
        <f>100/365</f>
        <v>0.2739726027</v>
      </c>
      <c r="M123">
        <v>2873</v>
      </c>
      <c r="N123">
        <f>K123*L123/M123</f>
        <v>0.0002002584287</v>
      </c>
      <c r="O123" t="str">
        <v>BRLUC 2.0 (Brazilian Land Use Change)</v>
      </c>
    </row>
    <row r="124">
      <c r="B124" t="str">
        <v>Brasil</v>
      </c>
      <c r="C124">
        <v>0.07</v>
      </c>
      <c r="D124">
        <v>15</v>
      </c>
      <c r="E124">
        <v>15000</v>
      </c>
      <c r="F124">
        <f>C124*D124/E124</f>
        <v>0.00007</v>
      </c>
      <c r="G124">
        <v>0.07</v>
      </c>
      <c r="H124">
        <v>7</v>
      </c>
      <c r="I124">
        <v>20631.33</v>
      </c>
      <c r="J124">
        <f>G124*H124/I124</f>
        <v>0.00002375028658</v>
      </c>
      <c r="K124">
        <v>3.18</v>
      </c>
      <c r="L124">
        <f>100/365</f>
        <v>0.2739726027</v>
      </c>
      <c r="M124">
        <v>2873</v>
      </c>
      <c r="N124">
        <f>K124*L124/M124</f>
        <v>0.0003032484778</v>
      </c>
      <c r="O124" t="str">
        <v>BRLUC 2.0 (Brazilian Land Use Change)</v>
      </c>
    </row>
    <row r="126">
      <c r="B126" t="str">
        <v>Disponibilidade de dados</v>
      </c>
    </row>
    <row r="127">
      <c r="B127" t="str">
        <v>Sim</v>
      </c>
    </row>
    <row r="128">
      <c r="B128" t="str">
        <v>Não</v>
      </c>
    </row>
    <row r="130">
      <c r="B130" t="str">
        <v>Combustível fóssil substituto</v>
      </c>
      <c r="C130" t="str">
        <v>Intensidade total de carbono do combustível fóssil substituto (g CO₂ eq/MJ)</v>
      </c>
      <c r="D130" t="str">
        <v>Intensidade total de carbono do combustível fóssil substituto (Kg CO₂ eq/MJ)</v>
      </c>
      <c r="E130" t="str">
        <v>Intensidade de carbono da produção do combustível fóssil substituto (Kg CO₂ eq/Kg)</v>
      </c>
      <c r="F130" t="str">
        <v>Fonte</v>
      </c>
    </row>
    <row r="131">
      <c r="B131" t="str">
        <v>Gasolina A</v>
      </c>
      <c r="C131">
        <v>87.4</v>
      </c>
      <c r="D131">
        <f>C131/1000</f>
        <v>0.0874</v>
      </c>
    </row>
    <row r="132">
      <c r="B132" t="str">
        <v>Diesel A</v>
      </c>
      <c r="C132">
        <v>86.5</v>
      </c>
      <c r="D132">
        <f>C132/1000</f>
        <v>0.0865</v>
      </c>
    </row>
    <row r="133">
      <c r="B133" t="str">
        <v>Média ponderada: Diesel A, Gasolina A e GNV</v>
      </c>
      <c r="C133">
        <v>86.7</v>
      </c>
      <c r="D133">
        <f>C133/1000</f>
        <v>0.0867</v>
      </c>
    </row>
    <row r="134">
      <c r="B134" t="str">
        <v>Querosene de aviação</v>
      </c>
      <c r="C134">
        <v>87.5</v>
      </c>
      <c r="D134">
        <f>C134/1000</f>
        <v>0.0875</v>
      </c>
    </row>
    <row r="135">
      <c r="B135" t="str">
        <v>GLP</v>
      </c>
      <c r="C135">
        <v>85</v>
      </c>
      <c r="D135">
        <f>C135/1000</f>
        <v>0.085</v>
      </c>
    </row>
    <row r="136">
      <c r="B136" t="str">
        <v>Coque de Petróleo</v>
      </c>
      <c r="C136">
        <f>D136*1000</f>
        <v>120.0376814</v>
      </c>
      <c r="D136">
        <f>(E136/E157)+N163</f>
        <v>0.1200376814</v>
      </c>
      <c r="E136">
        <v>0.633483369683796</v>
      </c>
    </row>
    <row r="137">
      <c r="B137" t="str">
        <v>Oléo Combustível</v>
      </c>
      <c r="C137">
        <f>D137*1000</f>
        <v>93.88418431</v>
      </c>
      <c r="D137">
        <f>(E137/E154)+N162</f>
        <v>0.09388418431</v>
      </c>
      <c r="E137">
        <v>0.6779</v>
      </c>
      <c r="F137" t="str">
        <v>heavy fuel oil production, petroleum refinery operation | heavy fuel oil | Cutoff, U</v>
      </c>
    </row>
    <row r="139">
      <c r="B139" t="str">
        <v>Unidade de Medida para aproveitamento energético (co-geração)</v>
      </c>
    </row>
    <row r="140">
      <c r="B140" t="str">
        <v xml:space="preserve">kWh - Kilowatt-hora </v>
      </c>
    </row>
    <row r="141">
      <c r="B141" t="str">
        <v>MJ - MegaJoule</v>
      </c>
    </row>
    <row r="142">
      <c r="B142" t="str">
        <v>Kg - Quilos de Biomassa</v>
      </c>
    </row>
    <row r="144">
      <c r="B144" t="str">
        <v>Massa específica e poder calorífico inferior dos combustíveis</v>
      </c>
    </row>
    <row r="145">
      <c r="B145" t="str">
        <v>Combustíveis</v>
      </c>
      <c r="C145" t="str">
        <v>Massa específica</v>
      </c>
      <c r="D145" t="str">
        <v>PCI</v>
      </c>
      <c r="F145" t="str">
        <v>Referência</v>
      </c>
    </row>
    <row r="146">
      <c r="C146" t="str">
        <v>kg/L</v>
      </c>
      <c r="D146" t="str">
        <v>kcal/kg</v>
      </c>
      <c r="E146" t="str">
        <v>MJ/kg</v>
      </c>
    </row>
    <row r="147">
      <c r="B147" t="str">
        <v>Etanol anidro</v>
      </c>
      <c r="C147">
        <v>0.791</v>
      </c>
      <c r="D147">
        <v>6750</v>
      </c>
      <c r="E147">
        <v>28.26</v>
      </c>
      <c r="F147" t="str">
        <v xml:space="preserve">Resolução ANP nº 894/2022 </v>
      </c>
    </row>
    <row r="148">
      <c r="B148" t="str">
        <v>Etanol hidratado</v>
      </c>
      <c r="C148">
        <v>0.809</v>
      </c>
      <c r="D148">
        <v>6300</v>
      </c>
      <c r="E148">
        <v>26.38</v>
      </c>
      <c r="F148" t="str">
        <v xml:space="preserve">Resolução ANP nº 894/2022 </v>
      </c>
    </row>
    <row r="149">
      <c r="B149" t="str">
        <v>GLP renovável</v>
      </c>
      <c r="C149">
        <v>0.55</v>
      </c>
      <c r="D149">
        <v>11130</v>
      </c>
      <c r="E149">
        <v>46.6</v>
      </c>
      <c r="F149" t="str">
        <v>Petrobras</v>
      </c>
      <c r="G149" t="str">
        <v>Densidade - https://www.neste.fi/static/ktt/13898_eng.pdf</v>
      </c>
    </row>
    <row r="150">
      <c r="B150" t="str">
        <v>Gasolina A</v>
      </c>
      <c r="C150">
        <v>0.742</v>
      </c>
      <c r="D150">
        <v>10400</v>
      </c>
      <c r="E150">
        <v>43.54</v>
      </c>
      <c r="F150" t="str">
        <v xml:space="preserve">Resolução ANP nº 894/2022 </v>
      </c>
    </row>
    <row r="151">
      <c r="B151" t="str">
        <v>Diesel A</v>
      </c>
      <c r="C151">
        <v>0.84</v>
      </c>
      <c r="D151">
        <v>10100</v>
      </c>
      <c r="E151">
        <v>42.29</v>
      </c>
      <c r="F151" t="str">
        <v xml:space="preserve">Resolução ANP nº 894/2022 </v>
      </c>
    </row>
    <row r="152">
      <c r="B152" t="str">
        <v>Gás natural seco</v>
      </c>
      <c r="C152">
        <v>0.00074</v>
      </c>
      <c r="D152">
        <v>8800</v>
      </c>
      <c r="E152">
        <v>36.84</v>
      </c>
      <c r="F152" t="str">
        <v xml:space="preserve">Resolução ANP nº 894/2022 </v>
      </c>
    </row>
    <row r="153">
      <c r="B153" t="str">
        <v>GLP</v>
      </c>
      <c r="C153">
        <v>0.552</v>
      </c>
      <c r="D153">
        <v>11100</v>
      </c>
      <c r="E153">
        <v>46.47</v>
      </c>
      <c r="F153" t="str">
        <v xml:space="preserve">Resolução ANP nº 894/2022 </v>
      </c>
    </row>
    <row r="154">
      <c r="B154" t="str">
        <v>Óleo combustível</v>
      </c>
      <c r="C154">
        <v>1.013</v>
      </c>
      <c r="D154">
        <v>9590</v>
      </c>
      <c r="E154">
        <v>40.15</v>
      </c>
      <c r="F154" t="str">
        <v xml:space="preserve">Resolução ANP nº 894/2022 </v>
      </c>
    </row>
    <row r="155">
      <c r="B155" t="str">
        <v>Resíduo de Pinus</v>
      </c>
      <c r="C155" t="str">
        <v>-</v>
      </c>
      <c r="D155">
        <f>1/E155*1000</f>
        <v>53.19148936</v>
      </c>
      <c r="E155">
        <v>18.8</v>
      </c>
      <c r="F155" t="str">
        <v>Matheus et al. (2024)</v>
      </c>
    </row>
    <row r="156">
      <c r="B156" t="str">
        <v>Resíduo de Eucaliptus</v>
      </c>
      <c r="C156" t="str">
        <v>-</v>
      </c>
      <c r="D156">
        <f>1/E156*1000</f>
        <v>63.29113924</v>
      </c>
      <c r="E156">
        <v>15.8</v>
      </c>
      <c r="F156" t="str">
        <v>Matheus et al. (2024)</v>
      </c>
    </row>
    <row r="157">
      <c r="B157" t="str">
        <v>Coque de Petróleo</v>
      </c>
      <c r="D157">
        <v>8390</v>
      </c>
      <c r="E157">
        <v>35.12</v>
      </c>
      <c r="F157" t="str">
        <v xml:space="preserve">Resolução ANP nº 894/2022 </v>
      </c>
    </row>
    <row r="159">
      <c r="B159" t="str">
        <v>Cálculo dos Fatores de emissão para combustão estacionária</v>
      </c>
    </row>
    <row r="160">
      <c r="B160" t="str">
        <v>Combustíveis</v>
      </c>
      <c r="C160" t="str">
        <v>Unidade de entrada</v>
      </c>
      <c r="D160" t="str">
        <v>Fatores de Emissão do setor de energia:</v>
      </c>
      <c r="G160" t="str">
        <v>PCI</v>
      </c>
      <c r="I160" t="str">
        <v>Fator de conversão de medida</v>
      </c>
      <c r="J160" t="str">
        <v>Fatores de Emissão do setor de energia:</v>
      </c>
      <c r="M160" t="str">
        <v>Fator de emissão CO2 eq</v>
      </c>
      <c r="N160" t="str">
        <v>Fator de emissão CO2 eq</v>
      </c>
    </row>
    <row r="161">
      <c r="D161" t="str">
        <v>CO2 (kg/TJ)</v>
      </c>
      <c r="E161" t="str">
        <v>CH4 (kg/TJ)</v>
      </c>
      <c r="F161" t="str">
        <v>N2O (kg/TJ)</v>
      </c>
      <c r="G161" t="str">
        <v>MJ/kg de combustível</v>
      </c>
      <c r="H161" t="str">
        <v>TJ/kg combustível</v>
      </c>
      <c r="I161" t="str">
        <v>kg combustível /unidade de entrada</v>
      </c>
      <c r="J161" t="str">
        <v>CO2 (kg/un)</v>
      </c>
      <c r="K161" t="str">
        <v>CH4 (kg/un)</v>
      </c>
      <c r="L161" t="str">
        <v>N2O (kg/un)</v>
      </c>
      <c r="M161" t="str">
        <v>kg CO2 eq/unidade</v>
      </c>
      <c r="N161" t="str">
        <v>kg CO2 eq/MJ</v>
      </c>
    </row>
    <row r="162">
      <c r="B162" t="str">
        <v>Combustão de Oleo Combustível</v>
      </c>
      <c r="C162" t="str">
        <v>MJ</v>
      </c>
      <c r="D162">
        <v>73300</v>
      </c>
      <c r="E162">
        <v>3</v>
      </c>
      <c r="F162">
        <v>0.6</v>
      </c>
      <c r="G162">
        <f>E154</f>
        <v>40.15</v>
      </c>
      <c r="H162">
        <f>G162/10^6</f>
        <v>0.00004015</v>
      </c>
      <c r="I162">
        <v>1</v>
      </c>
      <c r="J162">
        <f>D162*H162*I162</f>
        <v>2.942995</v>
      </c>
      <c r="K162">
        <f>E162*H162*I162</f>
        <v>0.00012045</v>
      </c>
      <c r="L162">
        <f>F162*H162*I162</f>
        <v>0.00002409</v>
      </c>
      <c r="M162">
        <f>(J162*1)+(K162*$C$18)+(L162*$C$20)</f>
        <v>2.95316098</v>
      </c>
      <c r="N162">
        <v>0.077</v>
      </c>
      <c r="O162" t="str">
        <v>IPCC</v>
      </c>
    </row>
    <row r="163">
      <c r="B163" t="str">
        <v>Combustão de Coque de Petróleo</v>
      </c>
      <c r="C163" t="str">
        <v>MJ</v>
      </c>
      <c r="D163">
        <v>97500</v>
      </c>
      <c r="E163">
        <v>3</v>
      </c>
      <c r="F163">
        <v>0.6</v>
      </c>
      <c r="G163">
        <f>E157</f>
        <v>35.12</v>
      </c>
      <c r="H163">
        <f>G163/10^6</f>
        <v>0.00003512</v>
      </c>
      <c r="I163">
        <v>1</v>
      </c>
      <c r="J163">
        <f>D163*H163*I163</f>
        <v>3.4242</v>
      </c>
      <c r="K163">
        <f>E163*H163*I163</f>
        <v>0.00010536</v>
      </c>
      <c r="L163">
        <f>F163*H163*I163</f>
        <v>0.000021072</v>
      </c>
      <c r="M163">
        <f>(J163*1)+(K163*$C$18)+(L163*$C$20)</f>
        <v>3.433092384</v>
      </c>
      <c r="N163">
        <v>0.102</v>
      </c>
      <c r="O163" t="str">
        <v>IPCC</v>
      </c>
    </row>
    <row r="164">
      <c r="B164" t="str">
        <v>Combustão de Diesel</v>
      </c>
      <c r="C164" t="str">
        <v>litro</v>
      </c>
      <c r="D164">
        <v>74100</v>
      </c>
      <c r="E164">
        <v>3</v>
      </c>
      <c r="F164">
        <v>0.6</v>
      </c>
      <c r="G164">
        <f>E151</f>
        <v>42.29</v>
      </c>
      <c r="H164">
        <f>G164/10^6</f>
        <v>0.00004229</v>
      </c>
      <c r="I164">
        <f>C151</f>
        <v>0.84</v>
      </c>
      <c r="J164">
        <f>D164*H164*I164</f>
        <v>2.63229876</v>
      </c>
      <c r="K164">
        <f>E164*H164*I164</f>
        <v>0.0001065708</v>
      </c>
      <c r="L164">
        <f>F164*H164*I164</f>
        <v>0.00002131416</v>
      </c>
      <c r="M164">
        <f>(J164*1)+(K164*$C$18)+(L164*$C$20)</f>
        <v>2.641293336</v>
      </c>
      <c r="N164" t="str">
        <v>-</v>
      </c>
    </row>
    <row r="165">
      <c r="B165" t="str">
        <v>Uso de Gás Natural</v>
      </c>
      <c r="C165" t="str">
        <v>Nm³</v>
      </c>
      <c r="D165">
        <v>56100</v>
      </c>
      <c r="E165">
        <v>1</v>
      </c>
      <c r="F165">
        <v>0.1</v>
      </c>
      <c r="G165">
        <f>E152</f>
        <v>36.84</v>
      </c>
      <c r="H165">
        <f>G165/10^6</f>
        <v>0.00003684</v>
      </c>
      <c r="I165">
        <v>0.74</v>
      </c>
      <c r="J165">
        <f>D165*H165*I165</f>
        <v>1.52937576</v>
      </c>
      <c r="K165">
        <f>E165*H165*I165</f>
        <v>0.0000272616</v>
      </c>
      <c r="L165">
        <f>F165*H165*I165</f>
        <v>0.00000272616</v>
      </c>
      <c r="M165">
        <f>(J165*1)+(K165*$C$18)+(L165*$C$20)</f>
        <v>1.530932397</v>
      </c>
      <c r="N165" t="str">
        <v>-</v>
      </c>
    </row>
    <row r="166">
      <c r="B166" t="str">
        <v>Uso de GLP</v>
      </c>
      <c r="C166" t="str">
        <v>kg</v>
      </c>
      <c r="D166">
        <v>63100</v>
      </c>
      <c r="E166">
        <v>1</v>
      </c>
      <c r="F166">
        <v>0.1</v>
      </c>
      <c r="G166">
        <f>E153</f>
        <v>46.47</v>
      </c>
      <c r="H166">
        <f>G166/10^6</f>
        <v>0.00004647</v>
      </c>
      <c r="I166">
        <v>1</v>
      </c>
      <c r="J166">
        <f>D166*H166*I166</f>
        <v>2.932257</v>
      </c>
      <c r="K166">
        <f>E166*H166*I166</f>
        <v>0.00004647</v>
      </c>
      <c r="L166">
        <f>F166*H166*I166</f>
        <v>0.000004647</v>
      </c>
      <c r="M166">
        <f>(J166*1)+(K166*$C$18)+(L166*$C$20)</f>
        <v>2.934910437</v>
      </c>
      <c r="N166" t="str">
        <v>-</v>
      </c>
    </row>
    <row r="167">
      <c r="B167" t="str">
        <v>Combustão de Gasolina A</v>
      </c>
      <c r="C167" t="str">
        <v>litro</v>
      </c>
      <c r="D167">
        <v>69300</v>
      </c>
      <c r="E167">
        <v>3</v>
      </c>
      <c r="F167">
        <v>0.6</v>
      </c>
      <c r="G167">
        <f>E150</f>
        <v>43.54</v>
      </c>
      <c r="H167">
        <f>G167/10^6</f>
        <v>0.00004354</v>
      </c>
      <c r="I167">
        <f>C150</f>
        <v>0.742</v>
      </c>
      <c r="J167">
        <f>D167*H167*I167</f>
        <v>2.238852924</v>
      </c>
      <c r="K167">
        <f>E167*H167*I167</f>
        <v>0.00009692004</v>
      </c>
      <c r="L167">
        <f>F167*H167*I167</f>
        <v>0.000019384008</v>
      </c>
      <c r="M167">
        <f>(J167*1)+(K167*$C$18)+(L167*$C$20)</f>
        <v>2.247032975</v>
      </c>
      <c r="N167" t="str">
        <v>-</v>
      </c>
    </row>
    <row r="168">
      <c r="B168" t="str">
        <v>Combustão de Etanol anidro</v>
      </c>
      <c r="C168" t="str">
        <v>litro</v>
      </c>
      <c r="D168">
        <v>79600</v>
      </c>
      <c r="E168">
        <v>3</v>
      </c>
      <c r="F168">
        <v>0.6</v>
      </c>
      <c r="G168">
        <f>E147</f>
        <v>28.26</v>
      </c>
      <c r="H168">
        <f>G168/10^6</f>
        <v>0.00002826</v>
      </c>
      <c r="I168">
        <f>C147</f>
        <v>0.791</v>
      </c>
      <c r="J168">
        <f>D168*H168*I168</f>
        <v>1.779351336</v>
      </c>
      <c r="K168">
        <f>E168*H168*I168</f>
        <v>0.00006706098</v>
      </c>
      <c r="L168">
        <f>F168*H168*I168</f>
        <v>0.000013412196</v>
      </c>
      <c r="M168">
        <f>(J168*1)+(K168*$C$18)+(L168*$C$20)</f>
        <v>1.785011283</v>
      </c>
      <c r="N168" t="str">
        <v>-</v>
      </c>
    </row>
    <row r="169">
      <c r="B169" t="str">
        <v>Combustão de Etanol hidratado</v>
      </c>
      <c r="C169" t="str">
        <v>litro</v>
      </c>
      <c r="D169">
        <v>79600</v>
      </c>
      <c r="E169">
        <v>3</v>
      </c>
      <c r="F169">
        <v>0.6</v>
      </c>
      <c r="G169">
        <f>E148</f>
        <v>26.38</v>
      </c>
      <c r="H169">
        <f>G169/10^6</f>
        <v>0.00002638</v>
      </c>
      <c r="I169">
        <f>C148</f>
        <v>0.809</v>
      </c>
      <c r="J169">
        <f>D169*H169*I169</f>
        <v>1.698777032</v>
      </c>
      <c r="K169">
        <f>E169*H169*I169</f>
        <v>0.00006402426</v>
      </c>
      <c r="L169">
        <f>F169*H169*I169</f>
        <v>0.000012804852</v>
      </c>
      <c r="M169">
        <f>(J169*1)+(K169*$C$18)+(L169*$C$20)</f>
        <v>1.70418068</v>
      </c>
      <c r="N169" t="str">
        <v>-</v>
      </c>
    </row>
    <row r="170">
      <c r="B170" t="str">
        <v>Combustão de Cavaco de madeira</v>
      </c>
      <c r="C170" t="str">
        <v>kg</v>
      </c>
      <c r="D170">
        <v>112000</v>
      </c>
      <c r="E170">
        <v>30</v>
      </c>
      <c r="F170">
        <v>4</v>
      </c>
      <c r="G170">
        <f>AVERAGE(E155:E156)</f>
        <v>17.3</v>
      </c>
      <c r="H170">
        <f>G170/10^6</f>
        <v>0.0000173</v>
      </c>
      <c r="I170">
        <v>1</v>
      </c>
      <c r="J170">
        <f>D170*H170*I170</f>
        <v>1.9376</v>
      </c>
      <c r="K170">
        <f>E170*H170*I170</f>
        <v>0.000519</v>
      </c>
      <c r="L170">
        <f>F170*H170*I170</f>
        <v>0.0000692</v>
      </c>
      <c r="M170">
        <f>(J170*1)+(K170*$C$18)+(L170*$C$20)</f>
        <v>1.9719578</v>
      </c>
      <c r="N170">
        <f>M170/G170</f>
        <v>0.113986</v>
      </c>
    </row>
    <row r="171">
      <c r="B171" t="str">
        <v>Combustão de Lenha / Lenha residual</v>
      </c>
      <c r="C171" t="str">
        <v>kg</v>
      </c>
      <c r="D171">
        <v>112000</v>
      </c>
      <c r="E171">
        <v>30</v>
      </c>
      <c r="F171">
        <v>4</v>
      </c>
      <c r="G171">
        <f>AVERAGE(E155:E156)</f>
        <v>17.3</v>
      </c>
      <c r="H171">
        <f>G171/10^6</f>
        <v>0.0000173</v>
      </c>
      <c r="I171">
        <v>1</v>
      </c>
      <c r="J171">
        <f>D171*H171*I171</f>
        <v>1.9376</v>
      </c>
      <c r="K171">
        <f>E171*H171*I171</f>
        <v>0.000519</v>
      </c>
      <c r="L171">
        <f>F171*H171*I171</f>
        <v>0.0000692</v>
      </c>
      <c r="M171">
        <f>(J171*1)+(K171*$C$18)+(L171*$C$20)</f>
        <v>1.9719578</v>
      </c>
      <c r="N171">
        <f>M171/G171</f>
        <v>0.113986</v>
      </c>
    </row>
    <row r="172">
      <c r="B172" t="str">
        <v>Combustão de carvão vegetal</v>
      </c>
      <c r="C172" t="str">
        <v>kg</v>
      </c>
      <c r="D172">
        <v>112000</v>
      </c>
      <c r="E172">
        <v>200</v>
      </c>
      <c r="F172">
        <v>4</v>
      </c>
      <c r="G172">
        <f>D9</f>
        <v>15.8</v>
      </c>
      <c r="H172">
        <f>G172/10^6</f>
        <v>0.0000158</v>
      </c>
      <c r="I172">
        <v>1</v>
      </c>
      <c r="J172">
        <f>D172*H172*I172</f>
        <v>1.7696</v>
      </c>
      <c r="K172">
        <f>E172*H172*I172</f>
        <v>0.00316</v>
      </c>
      <c r="L172">
        <f>F172*H172*I172</f>
        <v>0.0000632</v>
      </c>
      <c r="M172">
        <f>(J172*1)+(K172*$C$18)+(L172*$C$20)</f>
        <v>1.8810216</v>
      </c>
      <c r="N172">
        <f>M172/G172</f>
        <v>0.119052</v>
      </c>
    </row>
    <row r="173">
      <c r="B173" t="str">
        <v>Combustão de resíduo de amendoim</v>
      </c>
      <c r="C173" t="str">
        <v>kg</v>
      </c>
      <c r="D173">
        <v>100000</v>
      </c>
      <c r="E173">
        <v>30</v>
      </c>
      <c r="F173">
        <v>4</v>
      </c>
      <c r="G173">
        <f>D10</f>
        <v>17.1</v>
      </c>
      <c r="H173">
        <f>G173/10^6</f>
        <v>0.0000171</v>
      </c>
      <c r="I173">
        <v>1</v>
      </c>
      <c r="J173">
        <f>D173*H173*I173</f>
        <v>1.71</v>
      </c>
      <c r="K173">
        <f>E173*H173*I173</f>
        <v>0.000513</v>
      </c>
      <c r="L173">
        <f>F173*H173*I173</f>
        <v>0.0000684</v>
      </c>
      <c r="M173">
        <f>(J173*1)+(K173*$C$18)+(L173*$C$20)</f>
        <v>1.7439606</v>
      </c>
      <c r="N173">
        <f>M173/G173</f>
        <v>0.101986</v>
      </c>
    </row>
    <row r="174">
      <c r="B174" t="str">
        <v>Combustão do Pellet de resíduo de Pinus</v>
      </c>
      <c r="C174" t="str">
        <v>Kg</v>
      </c>
      <c r="G174">
        <v>17.6</v>
      </c>
    </row>
    <row r="175">
      <c r="B175" t="str">
        <v>Combustão do Pellet de resíduo de Eucalipto</v>
      </c>
      <c r="C175" t="str">
        <v>Kg</v>
      </c>
    </row>
    <row r="176">
      <c r="B176" t="str">
        <v>Combustão do Pellet de resíduo de amendoin</v>
      </c>
      <c r="C176" t="str">
        <v>Kg</v>
      </c>
    </row>
    <row r="177">
      <c r="D177" t="str">
        <v>Fonte: IPCC (2006)</v>
      </c>
      <c r="G177" t="str">
        <v>Fonte: Tabela massa especifica e poder calorífico inferior</v>
      </c>
      <c r="I177" t="str">
        <v>Fonte: Tabela massa especifica e poder calorífico inferior; Gás Natural - BEN (2023)</v>
      </c>
      <c r="J177" t="str">
        <v>Calculado</v>
      </c>
    </row>
    <row r="180">
      <c r="B180" t="str">
        <v>Fatores de emissão da queima de combustíveis em caldeiras</v>
      </c>
    </row>
    <row r="181">
      <c r="B181" t="str">
        <v>Combustível</v>
      </c>
      <c r="C181" t="str">
        <v>Unidade</v>
      </c>
      <c r="D181" t="str">
        <v>CO2 Fóssil</v>
      </c>
      <c r="E181" t="str">
        <v>CO2 Biogênico</v>
      </c>
      <c r="F181" t="str">
        <v>CH4 Fóssil</v>
      </c>
      <c r="G181" t="str">
        <v>CH4 Biogênico</v>
      </c>
      <c r="H181" t="str">
        <v>N2O</v>
      </c>
      <c r="I181" t="str">
        <v>CO₂ eq</v>
      </c>
      <c r="J181" t="str">
        <v>Fator de emissão CO2 eq</v>
      </c>
      <c r="K181" t="str">
        <v>Referência</v>
      </c>
    </row>
    <row r="182">
      <c r="D182" t="str">
        <v>g/unidade</v>
      </c>
      <c r="E182" t="str">
        <v>g/unidade</v>
      </c>
      <c r="F182" t="str">
        <v>g/unidade</v>
      </c>
      <c r="G182" t="str">
        <v>g/unidade</v>
      </c>
      <c r="H182" t="str">
        <v>g/unidade</v>
      </c>
      <c r="I182" t="str">
        <v>g/unidade</v>
      </c>
      <c r="J182" t="str">
        <v>kg CO2 eq/MJ</v>
      </c>
    </row>
    <row r="183">
      <c r="B183" t="str">
        <v>Casca de amendoin</v>
      </c>
      <c r="C183" t="str">
        <v>kg base seca</v>
      </c>
      <c r="D183">
        <v>0</v>
      </c>
      <c r="F183">
        <v>0</v>
      </c>
      <c r="G183">
        <v>0.014</v>
      </c>
      <c r="H183">
        <v>0.022</v>
      </c>
      <c r="I183">
        <f>D183+E183*0+F183*$C$18+G183*$C$19+H183*$C$20</f>
        <v>6.3868</v>
      </c>
      <c r="J183">
        <f>(I183/1000)/G173</f>
        <v>0.000373497076</v>
      </c>
      <c r="K183" t="str">
        <v>IPCC (2006) apud RenovaCalc</v>
      </c>
    </row>
    <row r="184">
      <c r="B184" t="str">
        <v>Cavacos de madeira</v>
      </c>
      <c r="C184" t="str">
        <v>kg base seca</v>
      </c>
      <c r="D184">
        <v>0</v>
      </c>
      <c r="F184">
        <v>0</v>
      </c>
      <c r="G184">
        <v>0.014</v>
      </c>
      <c r="H184">
        <v>0.022</v>
      </c>
      <c r="I184">
        <f>D184+E184*0+F184*$C$18+G184*$C$19+H184*$C$20</f>
        <v>6.3868</v>
      </c>
      <c r="J184">
        <f>(I184/1000)/G171</f>
        <v>0.0003691791908</v>
      </c>
      <c r="K184" t="str">
        <v>IPCC (2006) apud RenovaCalc</v>
      </c>
    </row>
    <row r="185">
      <c r="B185" t="str">
        <v>Lenha</v>
      </c>
      <c r="C185" t="str">
        <v>kg base seca</v>
      </c>
      <c r="D185">
        <v>0</v>
      </c>
      <c r="F185">
        <v>0</v>
      </c>
      <c r="G185">
        <v>0.014</v>
      </c>
      <c r="H185">
        <v>0.022</v>
      </c>
      <c r="I185">
        <f>D185+E185*0+F185*$C$18+G185*$C$19+H185*$C$20</f>
        <v>6.3868</v>
      </c>
      <c r="J185">
        <f>(I185/1000)/G170</f>
        <v>0.0003691791908</v>
      </c>
      <c r="K185" t="str">
        <v>IPCC (2006) apud RenovaCalc</v>
      </c>
    </row>
    <row r="186">
      <c r="B186" t="str">
        <v>Resíduos florestais</v>
      </c>
      <c r="C186" t="str">
        <v>kg base seca</v>
      </c>
      <c r="D186">
        <v>0</v>
      </c>
      <c r="F186">
        <v>0</v>
      </c>
      <c r="G186">
        <v>0.014</v>
      </c>
      <c r="H186">
        <v>0.022</v>
      </c>
      <c r="I186">
        <f>D186+E186*0+F186*$C$18+G186*$C$19+H186*$C$20</f>
        <v>6.3868</v>
      </c>
      <c r="J186">
        <f>(I186/1000)/G170</f>
        <v>0.0003691791908</v>
      </c>
      <c r="K186" t="str">
        <v>IPCC (2006) apud RenovaCalc</v>
      </c>
    </row>
    <row r="187">
      <c r="B187" t="str">
        <v>Gás combustível renovável</v>
      </c>
      <c r="C187" t="str">
        <v>MJ</v>
      </c>
      <c r="D187">
        <v>0</v>
      </c>
      <c r="E187">
        <v>55</v>
      </c>
      <c r="F187">
        <v>0</v>
      </c>
      <c r="G187">
        <v>0.001</v>
      </c>
      <c r="H187">
        <v>0</v>
      </c>
      <c r="I187">
        <v>0.1</v>
      </c>
      <c r="K187" t="str">
        <v>(IPCC, 2006 - Capítulo 2 - Combustão Estacionária)</v>
      </c>
    </row>
    <row r="188">
      <c r="B188" t="str">
        <v>Gás Natural</v>
      </c>
      <c r="C188" t="str">
        <v>MJ</v>
      </c>
      <c r="D188">
        <v>56.1</v>
      </c>
      <c r="E188">
        <v>0</v>
      </c>
      <c r="F188">
        <v>0.005</v>
      </c>
      <c r="G188">
        <v>0</v>
      </c>
      <c r="H188">
        <v>0</v>
      </c>
      <c r="I188">
        <v>56.3</v>
      </c>
      <c r="K188" t="str">
        <v>(IPCC, 2006 - Capítulo 2 - Combustão Estacionária)</v>
      </c>
    </row>
    <row r="189">
      <c r="B189" t="str">
        <v>Gás Natural</v>
      </c>
      <c r="C189" t="str">
        <v>kg</v>
      </c>
      <c r="D189">
        <v>2067</v>
      </c>
      <c r="E189">
        <v>0</v>
      </c>
      <c r="F189">
        <v>0.184</v>
      </c>
      <c r="G189">
        <v>0</v>
      </c>
      <c r="H189">
        <v>0.004</v>
      </c>
      <c r="I189">
        <v>2073.4</v>
      </c>
      <c r="K189" t="str">
        <v>(IPCC, 2006 - Capítulo 2 - Combustão Estacionária)</v>
      </c>
    </row>
    <row r="190">
      <c r="B190" t="str">
        <v>GLP</v>
      </c>
      <c r="C190" t="str">
        <v>MJ</v>
      </c>
      <c r="D190">
        <v>63.1</v>
      </c>
      <c r="E190">
        <v>0</v>
      </c>
      <c r="F190">
        <v>0.002</v>
      </c>
      <c r="G190">
        <v>0</v>
      </c>
      <c r="H190">
        <v>0</v>
      </c>
      <c r="I190">
        <v>63.2</v>
      </c>
      <c r="K190" t="str">
        <v>(IPCC, 2006 - Capítulo 2 - Combustão Estacionária)</v>
      </c>
    </row>
    <row r="191">
      <c r="B191" t="str">
        <v>GLP</v>
      </c>
      <c r="C191" t="str">
        <v>kg</v>
      </c>
      <c r="D191">
        <v>2932</v>
      </c>
      <c r="E191">
        <v>0</v>
      </c>
      <c r="F191">
        <v>0.07</v>
      </c>
      <c r="G191">
        <v>0</v>
      </c>
      <c r="H191">
        <v>0.005</v>
      </c>
      <c r="I191">
        <v>2935.8</v>
      </c>
      <c r="K191" t="str">
        <v>(IPCC, 2006 - Capítulo 2 - Combustão Estacionária)</v>
      </c>
    </row>
    <row r="192">
      <c r="B192" t="str">
        <v>Carvão de coque</v>
      </c>
      <c r="C192" t="str">
        <v>MJ</v>
      </c>
      <c r="D192">
        <v>95</v>
      </c>
      <c r="E192">
        <v>0</v>
      </c>
      <c r="F192">
        <v>0.3</v>
      </c>
      <c r="G192">
        <v>0</v>
      </c>
      <c r="H192">
        <v>0.002</v>
      </c>
      <c r="I192">
        <v>103.9</v>
      </c>
      <c r="K192" t="str">
        <v>(IPCC, 2006 - Capítulo 2 - Combustão Estacionária)</v>
      </c>
    </row>
    <row r="193">
      <c r="B193" t="str">
        <v>Diesel A (B0)</v>
      </c>
      <c r="C193" t="str">
        <v>kg</v>
      </c>
      <c r="D193">
        <v>3134</v>
      </c>
      <c r="E193">
        <v>0</v>
      </c>
      <c r="F193">
        <v>0.127</v>
      </c>
      <c r="G193">
        <v>0</v>
      </c>
      <c r="H193">
        <v>0.025</v>
      </c>
      <c r="I193">
        <v>3144.3</v>
      </c>
      <c r="K193" t="str">
        <v>(IPCC, 2006 - Capítulo 2 - Combustão Estacionária)</v>
      </c>
    </row>
    <row r="194">
      <c r="B194" t="str">
        <v>Biodiesel (B100)</v>
      </c>
      <c r="C194" t="str">
        <v>kg</v>
      </c>
      <c r="D194">
        <v>0</v>
      </c>
      <c r="E194">
        <v>2763</v>
      </c>
      <c r="F194">
        <v>0</v>
      </c>
      <c r="G194">
        <v>0.127</v>
      </c>
      <c r="H194">
        <v>0.025</v>
      </c>
      <c r="I194">
        <v>10.3</v>
      </c>
      <c r="K194" t="str">
        <v>RenovaBio</v>
      </c>
    </row>
    <row r="195">
      <c r="B195" t="str">
        <v>Óleo combustível</v>
      </c>
      <c r="C195" t="str">
        <v>MJ</v>
      </c>
      <c r="D195">
        <v>77</v>
      </c>
      <c r="E195">
        <v>0</v>
      </c>
      <c r="F195">
        <v>0.003</v>
      </c>
      <c r="G195">
        <v>0</v>
      </c>
      <c r="H195">
        <v>0.001</v>
      </c>
      <c r="I195">
        <v>77.7</v>
      </c>
      <c r="K195" t="str">
        <v>(IPCC, 2006 - Capítulo 2 - Combustão Estacionária)</v>
      </c>
    </row>
    <row r="196">
      <c r="B196" t="str">
        <v>Óleo combustível</v>
      </c>
      <c r="C196" t="str">
        <v>kg</v>
      </c>
      <c r="D196">
        <v>3108</v>
      </c>
      <c r="E196">
        <v>0</v>
      </c>
      <c r="F196">
        <v>0.12</v>
      </c>
      <c r="G196">
        <v>0</v>
      </c>
      <c r="H196">
        <v>0.024</v>
      </c>
      <c r="I196">
        <v>3117.9</v>
      </c>
      <c r="K196" t="str">
        <v>(IPCC, 2006 - Capítulo 2 - Combustão Estacionária)</v>
      </c>
    </row>
    <row r="197">
      <c r="B197" t="str">
        <v>Etanol anidro</v>
      </c>
      <c r="C197" t="str">
        <v>MJ</v>
      </c>
      <c r="D197">
        <v>0</v>
      </c>
      <c r="E197">
        <v>80</v>
      </c>
      <c r="F197">
        <v>0</v>
      </c>
      <c r="G197">
        <v>0.003</v>
      </c>
      <c r="H197">
        <v>0.001</v>
      </c>
      <c r="I197">
        <v>0.2</v>
      </c>
      <c r="K197" t="str">
        <v>(IPCC, 2006 - Capítulo 2 - Combustão Estacionária)</v>
      </c>
    </row>
    <row r="198">
      <c r="B198" t="str">
        <v>Etanol anidro</v>
      </c>
      <c r="C198" t="str">
        <v>kg</v>
      </c>
      <c r="D198">
        <v>0</v>
      </c>
      <c r="E198">
        <v>2250</v>
      </c>
      <c r="F198">
        <v>0</v>
      </c>
      <c r="G198">
        <v>0.085</v>
      </c>
      <c r="H198">
        <v>0.017</v>
      </c>
      <c r="I198">
        <v>6.9</v>
      </c>
      <c r="K198" t="str">
        <v>(IPCC, 2006 - Capítulo 2 - Combustão Estacionária)</v>
      </c>
    </row>
    <row r="199">
      <c r="B199" t="str">
        <v>Etanol hidratado</v>
      </c>
      <c r="C199" t="str">
        <v>MJ</v>
      </c>
      <c r="D199">
        <v>0</v>
      </c>
      <c r="E199">
        <v>80</v>
      </c>
      <c r="F199">
        <v>0</v>
      </c>
      <c r="G199">
        <v>0.003</v>
      </c>
      <c r="H199">
        <v>0.001</v>
      </c>
      <c r="I199">
        <v>0.2</v>
      </c>
      <c r="K199" t="str">
        <v>(IPCC, 2006 - Capítulo 2 - Combustão Estacionária)</v>
      </c>
    </row>
    <row r="200">
      <c r="B200" t="str">
        <v>Etanol hidratado</v>
      </c>
      <c r="C200" t="str">
        <v>kg</v>
      </c>
      <c r="D200">
        <v>0</v>
      </c>
      <c r="E200">
        <v>2100</v>
      </c>
      <c r="F200">
        <v>0</v>
      </c>
      <c r="G200">
        <v>0.079</v>
      </c>
      <c r="H200">
        <v>0.016</v>
      </c>
      <c r="I200">
        <v>6.5</v>
      </c>
      <c r="K200" t="str">
        <v>(IPCC, 2006 - Capítulo 2 - Combustão Estacionária)</v>
      </c>
    </row>
  </sheetData>
  <mergeCells count="51">
    <mergeCell ref="C160:C161"/>
    <mergeCell ref="D160:F160"/>
    <mergeCell ref="J160:L160"/>
    <mergeCell ref="B144:C144"/>
    <mergeCell ref="B145:B146"/>
    <mergeCell ref="D145:E145"/>
    <mergeCell ref="F145:F146"/>
    <mergeCell ref="G149:I149"/>
    <mergeCell ref="B159:C159"/>
    <mergeCell ref="G160:H160"/>
    <mergeCell ref="B1:I1"/>
    <mergeCell ref="B2:Q2"/>
    <mergeCell ref="B5:B6"/>
    <mergeCell ref="C5:D5"/>
    <mergeCell ref="F5:F6"/>
    <mergeCell ref="G5:H5"/>
    <mergeCell ref="D15:D16"/>
    <mergeCell ref="H23:H24"/>
    <mergeCell ref="I23:I24"/>
    <mergeCell ref="J23:J24"/>
    <mergeCell ref="K23:K24"/>
    <mergeCell ref="B15:B16"/>
    <mergeCell ref="B23:B24"/>
    <mergeCell ref="C23:C24"/>
    <mergeCell ref="D23:D24"/>
    <mergeCell ref="E23:E24"/>
    <mergeCell ref="F23:F24"/>
    <mergeCell ref="G23:G24"/>
    <mergeCell ref="I78:I79"/>
    <mergeCell ref="J78:J79"/>
    <mergeCell ref="K78:K79"/>
    <mergeCell ref="L78:L79"/>
    <mergeCell ref="B95:B96"/>
    <mergeCell ref="C95:F95"/>
    <mergeCell ref="G95:J95"/>
    <mergeCell ref="K95:N95"/>
    <mergeCell ref="O95:O96"/>
    <mergeCell ref="B78:B79"/>
    <mergeCell ref="C78:C79"/>
    <mergeCell ref="D78:D79"/>
    <mergeCell ref="E78:E79"/>
    <mergeCell ref="F78:F79"/>
    <mergeCell ref="G78:G79"/>
    <mergeCell ref="H78:H79"/>
    <mergeCell ref="B160:B161"/>
    <mergeCell ref="B177:C177"/>
    <mergeCell ref="D177:F177"/>
    <mergeCell ref="G177:H177"/>
    <mergeCell ref="J177:M177"/>
    <mergeCell ref="B179:D179"/>
    <mergeCell ref="B180:D180"/>
  </mergeCells>
  <pageMargins left="0.511811024" right="0.511811024" top="0.787401575" bottom="0.787401575" header="0" footer="0"/>
  <ignoredErrors>
    <ignoredError numberStoredAsText="1" sqref="B1:O982"/>
  </ignoredErrors>
</worksheet>
</file>

<file path=xl/worksheets/sheet4.xml><?xml version="1.0" encoding="utf-8"?>
<worksheet xmlns="http://schemas.openxmlformats.org/spreadsheetml/2006/main" xmlns:r="http://schemas.openxmlformats.org/officeDocument/2006/relationships">
  <dimension ref="A1:AD1000"/>
  <sheetViews>
    <sheetView workbookViewId="0" rightToLeft="0"/>
  </sheetViews>
  <sheetData>
    <row r="1">
      <c r="A1" t="str">
        <v>CFF Mat</v>
      </c>
      <c r="B1" t="str">
        <v>CFF Energy</v>
      </c>
      <c r="C1" t="str">
        <v>CFF Disposal</v>
      </c>
      <c r="D1" t="str">
        <v>CFF Total</v>
      </c>
    </row>
    <row r="2">
      <c r="A2">
        <f>(((1-$L$17)*$L$15)+$L$17*(($L$10*SUM(EngS_BioCalc!C23:C24)+((1-$L$10)*$L$15)*(VLOOKUP(EngS_BioCalc!E33,'Dados auxiliares'!B7:H12,3,0)/VLOOKUP(EngS_BioCalc!E33,'Dados auxiliares'!B7:H12,7,0)))+((1-$L$10)*$L$18*($L$14-(SUM(EngS_BioCalc!C23:C24)*($L$22/VLOOKUP(EngS_BioCalc!E33,'Dados auxiliares'!B7:H12,3,0)))))))</f>
        <v>0</v>
      </c>
      <c r="B2">
        <f>((1-$L$24)*$L$25)*((EngS_BioCalc!C21-VLOOKUP(EngS_BioCalc!E33,'Dados auxiliares'!B7:H12,7,0)*$L$29)*(EngS_BioCalc!E53+EngS_BioCalc!E40+EngS_BioCalc!C24))</f>
        <v>-0.05181937687</v>
      </c>
      <c r="C2">
        <f>(1-$L$18-$L$25)*($L$11*(VLOOKUP(EngS_BioCalc!E33,'Dados auxiliares'!B7:H12,7,0)))</f>
        <v>0</v>
      </c>
      <c r="D2">
        <f>SUM(A2:C2)+EngS_BioCalc!C21</f>
        <v>-0.0492616259</v>
      </c>
    </row>
    <row r="4">
      <c r="A4" t="str">
        <v>Material</v>
      </c>
      <c r="B4" t="str">
        <v>(1-R1) x Ev + R1 x (A x Erin + (1-A) x Ev x Qsin/Qp) + (1-A) x R2 x (Eout - Ev* x (QSout/QP)</v>
      </c>
    </row>
    <row r="5">
      <c r="A5" t="str">
        <v>Energy</v>
      </c>
      <c r="B5" t="str">
        <v>(1-B) x R3 x (Eer - LHV x Xerheat x Eseheat - LHV x Xerelec x Eseelec)</v>
      </c>
    </row>
    <row r="6">
      <c r="A6" t="str">
        <v>Disposal</v>
      </c>
      <c r="B6" t="str">
        <v>(1-R2-R3) x Ed</v>
      </c>
    </row>
    <row r="8">
      <c r="A8" t="str">
        <v xml:space="preserve">Full Circular Footprint Formula (F-CFF) </v>
      </c>
    </row>
    <row r="9">
      <c r="A9" t="str">
        <v xml:space="preserve">E= (1-R1) x Ev + R1 x (A x Erin + (1-A) x Ev x Qsin/Qp) + (1-A) x R2 x (Eout - Ev* x (QSout/QP)+ (1-B) x R3 x (Eer - LHV x Xerheat x Eseheat - LHV x Xerelec x Eseelec) + (1-R2-R3) x Ed </v>
      </c>
    </row>
    <row r="10">
      <c r="K10" t="str">
        <v>Factor A</v>
      </c>
      <c r="L10">
        <v>0.5</v>
      </c>
      <c r="M10" t="str">
        <v>A balance between supply and demand for recycled material [0.2-0.8]</v>
      </c>
    </row>
    <row r="11">
      <c r="K11" t="str">
        <v>Ed</v>
      </c>
      <c r="L11">
        <v>0.4903</v>
      </c>
      <c r="M11" t="str">
        <v>is the environmental burdens of the waste disposal</v>
      </c>
    </row>
    <row r="12">
      <c r="B12">
        <f>((1-$L$24)*$L$25)*VLOOKUP(EngS_BioCalc!E33,'Dados auxiliares'!B7:H12,7,0)-(VLOOKUP(EngS_BioCalc!E33,'Dados auxiliares'!B7:H12,7,0)*L29*L30)-(VLOOKUP(EngS_BioCalc!E33,'Dados auxiliares'!B7:H12,7,0)*L31*L32)</f>
        <v>2.82</v>
      </c>
      <c r="D12">
        <f>EngS_BioCalc!C21+B12</f>
        <v>2.822557751</v>
      </c>
      <c r="K12" t="str">
        <v>Ed*</v>
      </c>
      <c r="M12" t="str">
        <v>indicates Ed is avoided through recycling</v>
      </c>
    </row>
    <row r="13">
      <c r="K13" t="str">
        <v>Erin</v>
      </c>
      <c r="L13">
        <v>0</v>
      </c>
      <c r="M13" t="str">
        <v>is the environmental burdens of the recycling process supplying recycled material to the product</v>
      </c>
    </row>
    <row r="14">
      <c r="K14" t="str">
        <v>Erout</v>
      </c>
      <c r="L14">
        <v>0</v>
      </c>
      <c r="M14" t="str">
        <v>is the environmental burdens of the recycling process accepting materials from the produc</v>
      </c>
    </row>
    <row r="15">
      <c r="K15" t="str">
        <v>Ev</v>
      </c>
      <c r="L15">
        <v>0</v>
      </c>
      <c r="M15" t="str">
        <v>is the environmental burdens of virgin material production</v>
      </c>
    </row>
    <row r="16">
      <c r="K16" t="str">
        <v>Ev*</v>
      </c>
      <c r="L16">
        <v>0</v>
      </c>
      <c r="M16" t="str">
        <v>indicates Ev is avoided through recycling</v>
      </c>
    </row>
    <row r="17">
      <c r="K17" t="str">
        <v>R1</v>
      </c>
      <c r="L17">
        <v>0</v>
      </c>
      <c r="M17" t="str">
        <v>Share of recycled material [0-1]</v>
      </c>
    </row>
    <row r="18">
      <c r="K18" t="str">
        <v>R2</v>
      </c>
      <c r="L18">
        <v>0</v>
      </c>
      <c r="M18" t="str">
        <v>the rate of recycling of material after use in the product [0-1]</v>
      </c>
    </row>
    <row r="19">
      <c r="K19" t="str">
        <v>Qp</v>
      </c>
      <c r="L19">
        <v>1</v>
      </c>
      <c r="M19" t="str">
        <v>is the quality of the material delivered by the primary production [0-1]</v>
      </c>
    </row>
    <row r="20">
      <c r="K20" t="str">
        <v>Qs</v>
      </c>
      <c r="L20">
        <v>1</v>
      </c>
      <c r="M20" t="str">
        <v>quality of material recycled from the investigated product [0-1]</v>
      </c>
    </row>
    <row r="21">
      <c r="K21" t="str">
        <v>Qsin</v>
      </c>
      <c r="L21">
        <v>1</v>
      </c>
      <c r="M21" t="str">
        <v>the quality of recycled material entering the life cycle [0-1]</v>
      </c>
    </row>
    <row r="22">
      <c r="K22" t="str">
        <v>Qsout</v>
      </c>
      <c r="L22">
        <v>0</v>
      </c>
      <c r="M22" t="str">
        <v>the quality of recycled material leaving the life cycle [0-1]</v>
      </c>
    </row>
    <row r="23">
      <c r="K23" t="str">
        <v>S</v>
      </c>
      <c r="L23">
        <v>1</v>
      </c>
      <c r="M23" t="str">
        <v>the quality of the recycled material divided by the quality of virgin material [0-1]</v>
      </c>
    </row>
    <row r="24">
      <c r="K24" t="str">
        <v>B</v>
      </c>
      <c r="L24">
        <v>0</v>
      </c>
      <c r="M24" t="str">
        <v>allocation factor of energy recovery processes: it applies both to burdens and credits - Equalqs to 0 as default</v>
      </c>
    </row>
    <row r="25">
      <c r="K25" t="str">
        <v>R3</v>
      </c>
      <c r="L25">
        <v>1</v>
      </c>
      <c r="M25" t="str">
        <v>it is the proportion of the material in the product that is used for energy recovery at EoL</v>
      </c>
    </row>
    <row r="26">
      <c r="K26" t="str">
        <v>Eer</v>
      </c>
      <c r="L26">
        <v>0</v>
      </c>
      <c r="M26" t="str">
        <v>specific emissions and resources consumed (per functional unit) arising from the energy recovery process (e.g. incineration with energy recovery, landfill with energy recovery, …)</v>
      </c>
    </row>
    <row r="27">
      <c r="K27" t="str">
        <v>LHV (Biomass)</v>
      </c>
      <c r="L27">
        <v>12.1417</v>
      </c>
      <c r="M27" t="str">
        <v>lower heating value for Biomass[MJ/kg]</v>
      </c>
    </row>
    <row r="28">
      <c r="K28" t="str">
        <v>LHV (Biofuel)</v>
      </c>
      <c r="L28">
        <v>6.1852</v>
      </c>
      <c r="M28" t="str">
        <v>lower heating value for densified Biofuel[MJ/kg]</v>
      </c>
    </row>
    <row r="29">
      <c r="K29" t="str">
        <v>Xerheat</v>
      </c>
      <c r="L29">
        <v>1</v>
      </c>
      <c r="M29" t="str">
        <v>the efficiency of the energy recovery process for heat</v>
      </c>
    </row>
    <row r="30">
      <c r="K30" t="str">
        <v>Eseheat (GWP)</v>
      </c>
      <c r="L30">
        <v>0.85</v>
      </c>
      <c r="M30" t="str">
        <v>specific emissions and resources consumed (per functional unit) that would have arisen from the specific substituted energy source. For this case, heat</v>
      </c>
      <c r="AD30" t="str">
        <v xml:space="preserve">Eseheat (Impact/MJ) =  results (per MJ of Eucalyptus) / LHV (Briquettes) </v>
      </c>
    </row>
    <row r="31">
      <c r="K31" t="str">
        <v>Xerelec</v>
      </c>
      <c r="L31">
        <v>0</v>
      </c>
      <c r="M31" t="str">
        <v>the efficiency of the energy recovery process for elec</v>
      </c>
    </row>
    <row r="32">
      <c r="K32" t="str">
        <v>Eseelec</v>
      </c>
      <c r="L32">
        <v>0.35</v>
      </c>
      <c r="M32" t="str">
        <v>specific emissions and resources consumed (per functional unit) that would have arisen from the specific substituted energy source. For this case, electricity</v>
      </c>
    </row>
    <row r="36">
      <c r="P36" t="str">
        <v>Xerheat</v>
      </c>
      <c r="Q36">
        <v>1</v>
      </c>
    </row>
    <row r="37">
      <c r="P37" t="str">
        <v>Eseheat (GWP)</v>
      </c>
    </row>
    <row r="38">
      <c r="K38" t="str">
        <v>Xerheat</v>
      </c>
      <c r="L38">
        <v>1</v>
      </c>
      <c r="P38" t="str">
        <v>Xerelec</v>
      </c>
      <c r="Q38">
        <v>1</v>
      </c>
    </row>
    <row r="39">
      <c r="K39" t="str">
        <v>Eseheat (GWP)</v>
      </c>
      <c r="L39">
        <v>0.85</v>
      </c>
      <c r="P39" t="str">
        <v>Eseelec</v>
      </c>
      <c r="Q39">
        <v>0</v>
      </c>
    </row>
    <row r="40">
      <c r="K40" t="str">
        <v>Xerelec</v>
      </c>
      <c r="L40">
        <v>0</v>
      </c>
    </row>
    <row r="41">
      <c r="K41" t="str">
        <v>Eseelec</v>
      </c>
      <c r="L41">
        <v>0.35</v>
      </c>
    </row>
  </sheetData>
  <ignoredErrors>
    <ignoredError numberStoredAsText="1" sqref="A1:AD1000"/>
  </ignoredErrors>
</worksheet>
</file>

<file path=xl/worksheets/sheet5.xml><?xml version="1.0" encoding="utf-8"?>
<worksheet xmlns="http://schemas.openxmlformats.org/spreadsheetml/2006/main" xmlns:r="http://schemas.openxmlformats.org/officeDocument/2006/relationships">
  <dimension ref="A1:E43"/>
  <sheetViews>
    <sheetView workbookViewId="0" rightToLeft="0"/>
  </sheetViews>
  <sheetData>
    <row r="1" xml:space="preserve">
      <c r="A1" t="str" xml:space="preserve">
        <v xml:space="preserve">                              Calculadora para contabilização de Eficiência Energético-Ambiental para biocombustíveis sólidos (Pellets ou Briquetes)
                                                                             Chamada CNPq nº 26/2021 
                                                                                      401237/2022-2</v>
      </c>
      <c r="B1" t="str" xml:space="preserve">
        <v xml:space="preserve">BioCalc
Calculadora para contabilização de Eficiência Energético-Ambiental para biocombustíveis sólidos (Pellets ou Briquetes)
Chamada CNPq nº 26/2021 
401237/2022-2</v>
      </c>
    </row>
    <row r="3">
      <c r="B3" t="str">
        <v>Biomassa do biocombustível:</v>
      </c>
      <c r="C3" t="str">
        <f>EngS_BioCalc!E33</f>
        <v>Resíduo de Pinus</v>
      </c>
    </row>
    <row r="4" xml:space="preserve">
      <c r="B4" t="str" xml:space="preserve">
        <v xml:space="preserve">Intensidade de Carbono do Biocombustível
(kg CO₂eq/MJ)</v>
      </c>
      <c r="C4">
        <f>SUM(C6:C9)</f>
        <v>0.002557750978</v>
      </c>
      <c r="D4" t="str">
        <v>% de contribuição</v>
      </c>
    </row>
    <row r="5">
      <c r="B5" t="str">
        <v>Etapas do ciclo de vida</v>
      </c>
    </row>
    <row r="6">
      <c r="B6" t="str">
        <v>agrícola</v>
      </c>
      <c r="C6">
        <f>EngS_BioCalc!$C$23</f>
        <v>-0.00644166129</v>
      </c>
      <c r="D6">
        <f>C6/$C$4</f>
        <v>-2.518486493</v>
      </c>
    </row>
    <row r="7">
      <c r="B7" t="str">
        <v>industrial</v>
      </c>
      <c r="C7">
        <f>EngS_BioCalc!$C$24</f>
        <v>0.0009005138372</v>
      </c>
      <c r="D7">
        <f>C7/$C$4</f>
        <v>0.3520725219</v>
      </c>
    </row>
    <row r="8">
      <c r="B8" t="str">
        <v>transporte</v>
      </c>
      <c r="C8">
        <f>EngS_BioCalc!$C$25</f>
        <v>0.00772971924</v>
      </c>
      <c r="D8">
        <f>C8/$C$4</f>
        <v>3.022076546</v>
      </c>
    </row>
    <row r="9">
      <c r="B9" t="str">
        <v>Uso</v>
      </c>
      <c r="C9">
        <f>EngS_BioCalc!$C$26</f>
        <v>0.0003691791908</v>
      </c>
      <c r="D9">
        <f>C9/$C$4</f>
        <v>0.1443374253</v>
      </c>
    </row>
    <row r="11">
      <c r="C11" t="str">
        <v>Comparação entre combustíveis fósseis equivalentes</v>
      </c>
    </row>
    <row r="12">
      <c r="C12" t="str">
        <v>Diesel A, Gasolina A e GNV (Média ponderada)</v>
      </c>
      <c r="D12" t="str">
        <v>Óleo combustível pesado</v>
      </c>
      <c r="E12" t="str">
        <v>Coque de Petróleo</v>
      </c>
    </row>
    <row r="13" xml:space="preserve">
      <c r="B13" t="str" xml:space="preserve">
        <v xml:space="preserve">Intensidade de Carbono do combustível fóssil 
(kg CO₂eq/MJ)</v>
      </c>
      <c r="C13">
        <f>'Dados auxiliares'!D133</f>
        <v>0.0867</v>
      </c>
      <c r="D13">
        <f>'Dados auxiliares'!D137</f>
        <v>0.09388418431</v>
      </c>
      <c r="E13">
        <f>'Dados auxiliares'!D136</f>
        <v>0.1200376814</v>
      </c>
    </row>
    <row r="14">
      <c r="B14" t="str">
        <v xml:space="preserve">Nota de Eficiência Energético-Ambiental </v>
      </c>
      <c r="C14">
        <f>C13-$C$4</f>
        <v>0.08414224902</v>
      </c>
      <c r="D14">
        <f>D13-$C$4</f>
        <v>0.09132643333</v>
      </c>
      <c r="E14">
        <f>E13-$C$4</f>
        <v>0.1174799304</v>
      </c>
    </row>
    <row r="15">
      <c r="B15" t="str">
        <v>Redução de emissões</v>
      </c>
      <c r="C15">
        <f>(C13-$C$4)/C13</f>
        <v>0.9704988353</v>
      </c>
      <c r="D15">
        <f>(D13-$C$4)/D13</f>
        <v>0.9727563168</v>
      </c>
      <c r="E15">
        <f>(E13-$C$4)/E13</f>
        <v>0.9786920994</v>
      </c>
    </row>
    <row r="16" xml:space="preserve">
      <c r="B16" t="str" xml:space="preserve">
        <v xml:space="preserve">Possíveis créditos elegíveis (CBIOs)
Considerando usina de médio porte com produção anual de 10.000 Ton</v>
      </c>
      <c r="C16">
        <f>IFERROR(ROUNDDOWN(VLOOKUP(EngS_BioCalc!$E$33,'Dados auxiliares'!$B$7:$D$12,3,0)*(10000*(SUMIF(C14,"&gt;0",C14))),0),"")</f>
        <v>15818</v>
      </c>
      <c r="D16">
        <f>IFERROR(ROUNDDOWN(VLOOKUP(EngS_BioCalc!$E$33,'Dados auxiliares'!$B$7:$D$12,3,0)*(10000*(SUMIF(D14,"&gt;0",D14))),0),"")</f>
        <v>17169</v>
      </c>
      <c r="E16">
        <f>IFERROR(ROUNDDOWN(VLOOKUP(EngS_BioCalc!$E$33,'Dados auxiliares'!$B$7:$D$12,3,0)*(12000*(SUMIF(E14,"&gt;0",E14))),0),"")</f>
        <v>26503</v>
      </c>
    </row>
    <row r="19">
      <c r="B19" t="str">
        <v>Considerando carga nula na fase agricola, quando resíduo</v>
      </c>
    </row>
    <row r="20" xml:space="preserve">
      <c r="B20" t="str" xml:space="preserve">
        <v xml:space="preserve">Intensidade de Carbono do Biocombustível
(kg CO₂eq/MJ)</v>
      </c>
      <c r="C20">
        <f>SUM(C22:C24)</f>
        <v>0.008999412268</v>
      </c>
      <c r="D20" t="str">
        <v>% de contribuição</v>
      </c>
    </row>
    <row r="21">
      <c r="B21" t="str">
        <v>Etapas do ciclo de vida</v>
      </c>
    </row>
    <row r="22">
      <c r="B22" t="str">
        <v>industrial</v>
      </c>
      <c r="C22">
        <f>EngS_BioCalc!$C$24</f>
        <v>0.0009005138372</v>
      </c>
      <c r="D22">
        <f>C22/$C$20</f>
        <v>0.1000636275</v>
      </c>
    </row>
    <row r="23">
      <c r="B23" t="str">
        <v>transporte</v>
      </c>
      <c r="C23">
        <f>EngS_BioCalc!$C$25</f>
        <v>0.00772971924</v>
      </c>
      <c r="D23">
        <f>C23/$C$20</f>
        <v>0.8589137835</v>
      </c>
    </row>
    <row r="24">
      <c r="B24" t="str">
        <v>Uso</v>
      </c>
      <c r="C24">
        <f>EngS_BioCalc!$C$26</f>
        <v>0.0003691791908</v>
      </c>
      <c r="D24">
        <f>C24/$C$20</f>
        <v>0.04102258901</v>
      </c>
    </row>
    <row r="26">
      <c r="C26" t="str">
        <v xml:space="preserve">Comparação entre combustíveis fósseis substitutos </v>
      </c>
    </row>
    <row r="27">
      <c r="C27" t="str">
        <v>Diesel A, Gasolina A e GNV (Média ponderada)</v>
      </c>
      <c r="D27" t="str">
        <v>Óleo combustível pesado</v>
      </c>
      <c r="E27" t="str">
        <v>Coque de Petróleo</v>
      </c>
    </row>
    <row r="28" xml:space="preserve">
      <c r="B28" t="str" xml:space="preserve">
        <v xml:space="preserve">Intensidade de Carbono do combustível fóssil 
(kg CO₂eq/MJ)</v>
      </c>
      <c r="C28">
        <f>'Dados auxiliares'!$D$133</f>
        <v>0.0867</v>
      </c>
      <c r="D28">
        <f>'Dados auxiliares'!$D$137</f>
        <v>0.09388418431</v>
      </c>
      <c r="E28">
        <f>'Dados auxiliares'!$D$136</f>
        <v>0.1200376814</v>
      </c>
    </row>
    <row r="29" xml:space="preserve">
      <c r="B29" t="str" xml:space="preserve">
        <v xml:space="preserve">Nota de Eficiência Energético-Ambiental 
(kg CO₂eq/MJ)</v>
      </c>
      <c r="C29">
        <f>C28-$C$20</f>
        <v>0.07770058773</v>
      </c>
      <c r="D29">
        <f>D28-$C$20</f>
        <v>0.08488477204</v>
      </c>
      <c r="E29">
        <f>E28-$C$20</f>
        <v>0.1110382691</v>
      </c>
    </row>
    <row r="30">
      <c r="B30" t="str">
        <v>Redução de emissões</v>
      </c>
      <c r="C30">
        <f>(C28-$C$20)/C28</f>
        <v>0.8962005505</v>
      </c>
      <c r="D30">
        <f>(D28-$C$20)/D28</f>
        <v>0.9041434685</v>
      </c>
      <c r="E30">
        <f>(E28-$C$20)/E28</f>
        <v>0.9250284397</v>
      </c>
    </row>
    <row r="31" xml:space="preserve">
      <c r="B31" t="str" xml:space="preserve">
        <v xml:space="preserve">Possíveis créditos elegíveis (CBIOs)
Considerando usina de médio porte com produção anual de 10.000 Ton</v>
      </c>
      <c r="C31">
        <f>IFERROR(ROUNDDOWN(VLOOKUP(EngS_BioCalc!$E$33,'Dados auxiliares'!$B$7:$D$12,3,0)*(10000*(SUMIF(C29,"&gt;0",C29))),0),"")</f>
        <v>14607</v>
      </c>
      <c r="D31">
        <f>IFERROR(ROUNDDOWN(VLOOKUP(EngS_BioCalc!$E$33,'Dados auxiliares'!$B$7:$D$12,3,0)*(10000*(SUMIF(D29,"&gt;0",D29))),0),"")</f>
        <v>15958</v>
      </c>
      <c r="E31">
        <f>IFERROR(ROUNDDOWN(VLOOKUP(EngS_BioCalc!$E$33,'Dados auxiliares'!$B$7:$D$12,3,0)*(10000*(SUMIF(E29,"&gt;0",E29))),0),"")</f>
        <v>20875</v>
      </c>
    </row>
    <row r="34">
      <c r="B34" t="str">
        <v>Considerando a aplicação da Circular Footprint Formula (CFF)</v>
      </c>
    </row>
    <row r="36" xml:space="preserve">
      <c r="B36" t="str" xml:space="preserve">
        <v xml:space="preserve">Intensidade de Carbono do Biocombustível
(kg CO₂eq/MJ)</v>
      </c>
      <c r="C36">
        <f>EngS_BioCalc!C21+CFF!D2</f>
        <v>-0.04670387492</v>
      </c>
    </row>
    <row r="38">
      <c r="C38" t="str">
        <v>Comparação entre combustíveis fósseis equivalentes</v>
      </c>
    </row>
    <row r="39">
      <c r="C39" t="str">
        <v>Diesel A, Gasolina A e GNV (Média ponderada)</v>
      </c>
      <c r="D39" t="str">
        <v>Óleo combustível pesado</v>
      </c>
      <c r="E39" t="str">
        <v>Coque de Petróleo</v>
      </c>
    </row>
    <row r="40" xml:space="preserve">
      <c r="B40" t="str" xml:space="preserve">
        <v xml:space="preserve">Intensidade de Carbono do combustível fóssil 
(kg CO₂eq/MJ)</v>
      </c>
      <c r="C40">
        <f>'Dados auxiliares'!$D$133</f>
        <v>0.0867</v>
      </c>
      <c r="D40">
        <f>'Dados auxiliares'!$D$137</f>
        <v>0.09388418431</v>
      </c>
      <c r="E40">
        <f>'Dados auxiliares'!$D$136</f>
        <v>0.1200376814</v>
      </c>
    </row>
    <row r="41">
      <c r="B41" t="str">
        <v xml:space="preserve">Nota de Eficiência Energético-Ambiental </v>
      </c>
      <c r="C41">
        <f>C40-$C$36</f>
        <v>0.1334038749</v>
      </c>
      <c r="D41">
        <f>D40-$C$36</f>
        <v>0.1405880592</v>
      </c>
      <c r="E41">
        <f>E40-$C$36</f>
        <v>0.1667415563</v>
      </c>
    </row>
    <row r="42">
      <c r="B42" t="str">
        <v>Redução de emissões</v>
      </c>
      <c r="C42">
        <f>(C40-$C$36)/C40</f>
        <v>1.538683678</v>
      </c>
      <c r="D42">
        <f>(D40-$C$36)/D40</f>
        <v>1.497462648</v>
      </c>
      <c r="E42">
        <f>(E40-$C$36)/E40</f>
        <v>1.389076783</v>
      </c>
    </row>
    <row r="43" xml:space="preserve">
      <c r="B43" t="str" xml:space="preserve">
        <v xml:space="preserve">Possíveis créditos elegíveis (CBIOs)
Considerando usina de médio porte com produção anual de 10.000 Ton</v>
      </c>
      <c r="C43">
        <f>IFERROR(ROUNDDOWN(VLOOKUP(EngS_BioCalc!$E$33,'Dados auxiliares'!$B$7:$D$12,3,0)*(10000*(SUMIF(C41,"&gt;0",C41))),0),"")</f>
        <v>25079</v>
      </c>
      <c r="D43">
        <f>IFERROR(ROUNDDOWN(VLOOKUP(EngS_BioCalc!$E$33,'Dados auxiliares'!$B$7:$D$12,3,0)*(10000*(SUMIF(D41,"&gt;0",D41))),0),"")</f>
        <v>26430</v>
      </c>
      <c r="E43">
        <f>IFERROR(ROUNDDOWN(VLOOKUP(EngS_BioCalc!$E$33,'Dados auxiliares'!$B$7:$D$12,3,0)*(10000*(SUMIF(E41,"&gt;0",E41))),0),"")</f>
        <v>31347</v>
      </c>
    </row>
  </sheetData>
  <mergeCells count="12">
    <mergeCell ref="D20:D21"/>
    <mergeCell ref="B21:C21"/>
    <mergeCell ref="C26:E26"/>
    <mergeCell ref="B33:F33"/>
    <mergeCell ref="C38:E38"/>
    <mergeCell ref="B1:L1"/>
    <mergeCell ref="B2:F2"/>
    <mergeCell ref="C3:D3"/>
    <mergeCell ref="D4:D5"/>
    <mergeCell ref="B5:C5"/>
    <mergeCell ref="C11:E11"/>
    <mergeCell ref="B18:F18"/>
  </mergeCells>
  <ignoredErrors>
    <ignoredError numberStoredAsText="1" sqref="A1:E43"/>
  </ignoredErrors>
</worksheet>
</file>

<file path=xl/worksheets/sheet6.xml><?xml version="1.0" encoding="utf-8"?>
<worksheet xmlns="http://schemas.openxmlformats.org/spreadsheetml/2006/main" xmlns:r="http://schemas.openxmlformats.org/officeDocument/2006/relationships">
  <dimension ref="A1:B14"/>
  <sheetViews>
    <sheetView workbookViewId="0" rightToLeft="0"/>
  </sheetViews>
  <sheetData>
    <row r="1" xml:space="preserve">
      <c r="A1" t="str" xml:space="preserve">
        <v xml:space="preserve">                              Calculadora para contabilização de Eficiência Energético-Ambiental para biocombustíveis sólidos (Pellets ou Briquetes)
                                                                             Chamada CNPq nº 26/2021 
                                                                                      401237/2022-2</v>
      </c>
    </row>
    <row r="2">
      <c r="B2" t="str">
        <v>Referências</v>
      </c>
    </row>
    <row r="3">
      <c r="B3" t="str">
        <v>BRLUC 2.0 (Brazilian Land Use Change) 2024. Disponível em: https://brluc.cnpma.embrapa.br/</v>
      </c>
    </row>
    <row r="4">
      <c r="B4" t="str">
        <v>CASTRO, R. S. D. D. (2010). Avaliação das características organolépticas de grãos e qualidade fisiológica de sementes em função do tempo de armazenamento em amendoim. Disponível em: https://repositorio.unesp.br/server/api/core/bitstreams/7888a4d8-70fc-4dd7-861f-652de34560d2/content</v>
      </c>
    </row>
    <row r="5">
      <c r="B5" t="str">
        <v>Embrapa (2023) https://www.embrapa.br/busca-de-solucoes-tecnologicas/-/produto-servico/9659/amendoim---brs-423-ol</v>
      </c>
    </row>
    <row r="6">
      <c r="B6" t="str">
        <v>FARRAPO, A. C., MATHEUS, T. T., LAGUNES, R. M., FILLETI, R., YAMAJI, F., &amp; LOPES SILVA, D. A. (2023). The Application of Circular Footprint Formula in Bioenergy/Bioeconomy: Challenges, Case Study, and Comparison with Life Cycle Assessment Allocation Methods. Sustainability (Switzerland), 15(3). https://doi.org/10.3390/su15032339</v>
      </c>
    </row>
    <row r="7" xml:space="preserve">
      <c r="B7" t="str" xml:space="preserve">
        <v xml:space="preserve">IPCC 2006, 2006 IPCC Guidelines for National Greenhouse Gas Inventories, Prepared by the National Greenhouse Gas Inventories Programme, Eggleston H.S., Buendia L., Miwa K., Ngara T. and Tanabe K. (eds).
Published: IGES, Japan. </v>
      </c>
    </row>
    <row r="8">
      <c r="B8" t="str">
        <v>IPCC, 2021: Climate Change 2021: The Physical Science Basis. Contribution of Working Group I to the Sixth Assessment Report of the Intergovernmental Panel on Climate Change[Masson-Delmotte, V., P. Zhai, A. Pirani, S.L. Connors, C. Péan, S. Berger, N. Caud, Y. Chen, L. Goldfarb, M.I. Gomis, M. Huang, K. Leitzell, E. Lonnoy, J.B.R. Matthews, T.K. Maycock, T. Waterfield, O. Yelekçi, R. Yu, and B. Zhou (eds.)]. Cambridge University Press, Cambridge, United Kingdom and New York, NY, USA, In press, doi:10.1017/9781009157896.</v>
      </c>
    </row>
    <row r="9">
      <c r="B9" t="str">
        <v>MATHEUS, T. T., FARRAPO JR., A. C., LAGUNES, R. M., FILLETI, R., GARCIA, D. P., &amp; SILVA, D. A. L. (2024). The effect of transportation choices for mitigating climate-related impacts: The case of solid biofuels exported to Europe produced by Latin American countries. Sustainable Production and Consumption</v>
      </c>
    </row>
    <row r="10">
      <c r="B10" t="str">
        <v>PEREA-MORENO, M.A., MANZANO-AGUGLIARO, F., HERNANDEZ-ESCOBEDO, Q., &amp; PEREA-MORENO, A.J. (2018). Peanut shell for energy: properties and its potential to respect the environment. Sustainability, 10(9), 3254.</v>
      </c>
    </row>
    <row r="11">
      <c r="B11" t="str">
        <v xml:space="preserve">Resolução ANP nº 894/2022 </v>
      </c>
    </row>
    <row r="12">
      <c r="B12" t="str">
        <v>RODIGHERI, H. R., GRAÇA, L. R., &amp; de LIMA, M. A. (2005). Indicadores de custos, produtividade, renda e créditos de carbono de plantio de eucaliptos e pinus em pequenas propriedades rurais.</v>
      </c>
    </row>
    <row r="13">
      <c r="B13" t="str">
        <v>SILVA, D. A. L. (2012). Avaliação do ciclo de vida da produção do painel de madeira MDP no Brasil (Doctoral dissertation, Universidade de São Paulo). Disponível em: https://oasisbr.ibict.br/vufind/Record/USP_d416ac5814858b5df3ddb5f026e0a9a4</v>
      </c>
    </row>
    <row r="14">
      <c r="B14" t="str">
        <v>Silva, D. A. L., Filleti, R. A. P., Musule, R., Matheus, T. T., &amp; Freire, F. (2022). A systematic review and life cycle assessment of biomass pellets and briquettes production in Latin America. Renewable and Sustainable Energy Reviews, 157, 112042.</v>
      </c>
    </row>
  </sheetData>
  <mergeCells count="14">
    <mergeCell ref="B8:G8"/>
    <mergeCell ref="B9:G9"/>
    <mergeCell ref="B10:G10"/>
    <mergeCell ref="B11:G11"/>
    <mergeCell ref="B12:G12"/>
    <mergeCell ref="B13:G13"/>
    <mergeCell ref="B14:G14"/>
    <mergeCell ref="A1:AE1"/>
    <mergeCell ref="B2:G2"/>
    <mergeCell ref="B3:G3"/>
    <mergeCell ref="B4:G4"/>
    <mergeCell ref="B5:G5"/>
    <mergeCell ref="B6:G6"/>
    <mergeCell ref="B7:G7"/>
  </mergeCells>
  <hyperlinks>
    <hyperlink ref="B3" r:id="rId1"/>
    <hyperlink ref="B4" r:id="rId2"/>
    <hyperlink ref="B5" r:id="rId3"/>
  </hyperlinks>
  <ignoredErrors>
    <ignoredError numberStoredAsText="1" sqref="A1:B14"/>
  </ignoredErrors>
</worksheet>
</file>

<file path=xl/worksheets/sheet7.xml><?xml version="1.0" encoding="utf-8"?>
<worksheet xmlns="http://schemas.openxmlformats.org/spreadsheetml/2006/main" xmlns:r="http://schemas.openxmlformats.org/officeDocument/2006/relationships">
  <dimension ref="B1:I1000"/>
  <sheetViews>
    <sheetView workbookViewId="0" rightToLeft="0"/>
  </sheetViews>
  <sheetData>
    <row r="2">
      <c r="B2" t="str">
        <v>Emissões totais - g CO₂ eq</v>
      </c>
    </row>
    <row r="3">
      <c r="C3" t="str">
        <v>Anidro</v>
      </c>
      <c r="E3" t="str">
        <v>Hidratado</v>
      </c>
    </row>
    <row r="4">
      <c r="B4" t="str">
        <v>Total</v>
      </c>
      <c r="C4" t="str">
        <f>C5+C6+C7</f>
        <v>#ERROR!</v>
      </c>
      <c r="E4" t="str">
        <f>E5+E6+E7</f>
        <v>#ERROR!</v>
      </c>
    </row>
    <row r="5">
      <c r="B5" t="str">
        <v>Industrial</v>
      </c>
      <c r="C5" t="str">
        <f>($H$67-$H$17)</f>
        <v>#ERROR!</v>
      </c>
      <c r="D5" t="str">
        <f>C5/$C$4</f>
        <v>#ERROR!</v>
      </c>
      <c r="E5" t="str">
        <f>($I$67-$I$17)</f>
        <v>#ERROR!</v>
      </c>
      <c r="F5" t="str">
        <f>E5/$E$4</f>
        <v>#ERROR!</v>
      </c>
    </row>
    <row r="6">
      <c r="B6" t="str">
        <v>Transporte</v>
      </c>
      <c r="C6" t="str">
        <f>$D$97</f>
        <v>#ERROR!</v>
      </c>
      <c r="D6" t="str">
        <f>C6/$C$4</f>
        <v>#ERROR!</v>
      </c>
      <c r="E6" t="str">
        <f>$E$97</f>
        <v>#ERROR!</v>
      </c>
      <c r="F6" t="str">
        <f>E6/$E$4</f>
        <v>#ERROR!</v>
      </c>
    </row>
    <row r="7">
      <c r="B7" t="str">
        <v>Uso</v>
      </c>
      <c r="C7" t="str">
        <f>'_QUEIMACOMB_RENOVACALC'!$I$7</f>
        <v>#REF!</v>
      </c>
      <c r="D7" t="str">
        <f>C7/$C$4</f>
        <v>#REF!</v>
      </c>
      <c r="E7" t="str">
        <f>'_QUEIMACOMB_RENOVACALC'!$I$8</f>
        <v>#REF!</v>
      </c>
      <c r="F7" t="str">
        <f>E7/$E$4</f>
        <v>#REF!</v>
      </c>
    </row>
    <row r="11">
      <c r="B11" t="str">
        <v>Etapa industrial - Etanol</v>
      </c>
      <c r="H11" t="str">
        <v>Emissões por MJ de etanol anidro</v>
      </c>
      <c r="I11" t="str">
        <v>Emissões por MJ de etanol hidratado</v>
      </c>
    </row>
    <row r="12">
      <c r="B12" t="str">
        <v>Produtos</v>
      </c>
      <c r="C12" t="str">
        <v>Unidade</v>
      </c>
      <c r="D12" t="str">
        <v>1 MLC</v>
      </c>
      <c r="E12" t="str">
        <v>MJ</v>
      </c>
      <c r="F12" t="str">
        <v>Alocação</v>
      </c>
    </row>
    <row r="13">
      <c r="B13" t="str">
        <v>Etanol anidro</v>
      </c>
      <c r="C13" t="str">
        <v>kg</v>
      </c>
      <c r="D13" t="str">
        <f>'RENOVACALC Solidos'!#REF!*_DADOSAUXILIARES!$D$15</f>
        <v>#ERROR!</v>
      </c>
      <c r="E13" t="str">
        <f>D13*'_DADOSAUXILIARES'!$F$15</f>
        <v>#ERROR!</v>
      </c>
      <c r="F13" t="str">
        <f>E13/SUM($E$13:$E$15)</f>
        <v>#ERROR!</v>
      </c>
    </row>
    <row r="14">
      <c r="B14" t="str">
        <v>Etanol hidratado</v>
      </c>
      <c r="C14" t="str">
        <v>kg</v>
      </c>
      <c r="D14" t="str">
        <f>'RENOVACALC Solidos'!#REF!*_DADOSAUXILIARES!$D$16</f>
        <v>#ERROR!</v>
      </c>
      <c r="E14" t="str">
        <f>D14*'_DADOSAUXILIARES'!$F$16</f>
        <v>#ERROR!</v>
      </c>
      <c r="F14" t="str">
        <f>E14/SUM($E$13:$E$15)</f>
        <v>#ERROR!</v>
      </c>
    </row>
    <row r="15">
      <c r="B15" t="str">
        <v>Energia elétrica comercializada</v>
      </c>
      <c r="C15" t="str">
        <v>kWh</v>
      </c>
      <c r="D15" t="str">
        <f>'RENOVACALC Solidos'!#REF!</f>
        <v>#ERROR!</v>
      </c>
      <c r="E15" t="str">
        <f>CONVERT(D15,"kWh","MJ")</f>
        <v>#ERROR!</v>
      </c>
      <c r="F15" t="str">
        <f>E15/SUM($E$13:$E$15)</f>
        <v>#ERROR!</v>
      </c>
    </row>
    <row r="16">
      <c r="B16" t="str">
        <v xml:space="preserve">Entradas </v>
      </c>
      <c r="C16" t="str">
        <v>Unidade</v>
      </c>
      <c r="D16" t="str">
        <v>1 MLC</v>
      </c>
      <c r="F16" t="str">
        <v>g CO2 eq/t MLC</v>
      </c>
      <c r="H16" t="str">
        <v>g CO2 eq/MJ</v>
      </c>
      <c r="I16" t="str">
        <v>g CO2 eq/MJ</v>
      </c>
    </row>
    <row r="17">
      <c r="B17" t="str">
        <v>MLC</v>
      </c>
      <c r="C17" t="str">
        <v>t</v>
      </c>
      <c r="D17">
        <v>1</v>
      </c>
      <c r="F17">
        <v>0</v>
      </c>
      <c r="H17" t="str">
        <f>(F17/$E$13)*$F$13</f>
        <v>#ERROR!</v>
      </c>
      <c r="I17" t="str">
        <f>(F17/$E$14)*$F$14</f>
        <v>#ERROR!</v>
      </c>
    </row>
    <row r="18">
      <c r="B18" t="str">
        <v>Bagaço de terceiros</v>
      </c>
      <c r="C18" t="str">
        <v>kg base seca</v>
      </c>
      <c r="D18" t="str">
        <f>('RENOVACALC Solidos'!$D$35*1-'RENOVACALC Solidos'!#REF!)*1000/'RENOVACALC Solidos'!#REF!</f>
        <v>#ERROR!</v>
      </c>
      <c r="F18">
        <v>0</v>
      </c>
      <c r="H18" t="str">
        <f>(F18/$E$13)*$F$13</f>
        <v>#ERROR!</v>
      </c>
      <c r="I18" t="str">
        <f>(F18/$E$14)*$F$14</f>
        <v>#ERROR!</v>
      </c>
    </row>
    <row r="19">
      <c r="B19" t="str">
        <v>Transporte de bagaço de terceiros</v>
      </c>
      <c r="C19" t="str">
        <v>tkm</v>
      </c>
      <c r="D19" t="str">
        <f>D18/1000*#REF!</f>
        <v>#ERROR!</v>
      </c>
      <c r="F19" t="str">
        <f>D19*'_DADOSAUXILIARES'!$H$131</f>
        <v>#ERROR!</v>
      </c>
      <c r="H19" t="str">
        <f>(F19/$E$13)*$F$13</f>
        <v>#ERROR!</v>
      </c>
      <c r="I19" t="str">
        <f>(F19/$E$14)*$F$14</f>
        <v>#ERROR!</v>
      </c>
    </row>
    <row r="20">
      <c r="B20" t="str">
        <v>Palha de terceiros</v>
      </c>
      <c r="C20" t="str">
        <v>kg base seca</v>
      </c>
      <c r="D20" t="str">
        <f>'RENOVACALC Solidos'!$D$43*1000/'RENOVACALC Solidos'!#REF!</f>
        <v>#ERROR!</v>
      </c>
      <c r="F20" t="str">
        <f>D20*'_DADOSAUXILIARES'!$H$78</f>
        <v>#ERROR!</v>
      </c>
      <c r="H20" t="str">
        <f>(F20/$E$13)*$F$13</f>
        <v>#ERROR!</v>
      </c>
      <c r="I20" t="str">
        <f>(F20/$E$14)*$F$14</f>
        <v>#ERROR!</v>
      </c>
    </row>
    <row r="21">
      <c r="B21" t="str">
        <v>Transporte de palha de terceiros</v>
      </c>
      <c r="C21" t="str">
        <v>tkm</v>
      </c>
      <c r="D21" t="str">
        <f>D20/1000*#REF!</f>
        <v>#ERROR!</v>
      </c>
      <c r="F21" t="str">
        <f>D21*'_DADOSAUXILIARES'!$H$131</f>
        <v>#ERROR!</v>
      </c>
      <c r="H21" t="str">
        <f>(F21/$E$13)*$F$13</f>
        <v>#ERROR!</v>
      </c>
      <c r="I21" t="str">
        <f>(F21/$E$14)*$F$14</f>
        <v>#ERROR!</v>
      </c>
    </row>
    <row r="22">
      <c r="B22" t="str">
        <v>Água</v>
      </c>
      <c r="C22" t="str">
        <v>kg</v>
      </c>
      <c r="D22">
        <v>4311.68859162723</v>
      </c>
      <c r="F22" t="str">
        <f>D22*'_DADOSAUXILIARES'!$H$83</f>
        <v>#REF!</v>
      </c>
      <c r="H22" t="str">
        <f>(F22/$E$13)*$F$13</f>
        <v>#REF!</v>
      </c>
      <c r="I22" t="str">
        <f>(F22/$E$14)*$F$14</f>
        <v>#REF!</v>
      </c>
    </row>
    <row r="23">
      <c r="B23" t="str">
        <v>Ácido sulfúrico</v>
      </c>
      <c r="C23" t="str">
        <v>kg</v>
      </c>
      <c r="D23">
        <v>0.619083147635881</v>
      </c>
      <c r="F23" t="str">
        <f>D23*'_DADOSAUXILIARES'!$H$88</f>
        <v>#REF!</v>
      </c>
      <c r="H23" t="str">
        <f>(F23/$E$13)*$F$13</f>
        <v>#REF!</v>
      </c>
      <c r="I23" t="str">
        <f>(F23/$E$14)*$F$14</f>
        <v>#REF!</v>
      </c>
    </row>
    <row r="24">
      <c r="B24" t="str">
        <v>Amônia</v>
      </c>
      <c r="C24" t="str">
        <v>kg</v>
      </c>
      <c r="D24">
        <v>3.79771097305803</v>
      </c>
      <c r="F24" t="str">
        <f>D24*'_DADOSAUXILIARES'!$H$95</f>
        <v>#REF!</v>
      </c>
      <c r="H24" t="str">
        <f>(F24/$E$13)*$F$13</f>
        <v>#REF!</v>
      </c>
      <c r="I24" t="str">
        <f>(F24/$E$14)*$F$14</f>
        <v>#REF!</v>
      </c>
    </row>
    <row r="25">
      <c r="B25" t="str">
        <v>Antibióticos</v>
      </c>
      <c r="C25" t="str">
        <v>kg</v>
      </c>
      <c r="D25">
        <v>0.00281994798456617</v>
      </c>
      <c r="F25" t="str">
        <f>D25*'_DADOSAUXILIARES'!$H$92</f>
        <v>#REF!</v>
      </c>
      <c r="H25" t="str">
        <f>(F25/$E$13)*$F$13</f>
        <v>#REF!</v>
      </c>
      <c r="I25" t="str">
        <f>(F25/$E$14)*$F$14</f>
        <v>#REF!</v>
      </c>
    </row>
    <row r="26">
      <c r="B26" t="str">
        <v>Zeolita</v>
      </c>
      <c r="C26" t="str">
        <v>kg</v>
      </c>
      <c r="D26" t="str">
        <f>(0.4464/1000)*D13</f>
        <v>#ERROR!</v>
      </c>
      <c r="F26" t="str">
        <f>D26*'_DADOSAUXILIARES'!$H$94</f>
        <v>#ERROR!</v>
      </c>
      <c r="H26" t="str">
        <f>(F26/$E$13)*$F$13</f>
        <v>#ERROR!</v>
      </c>
      <c r="I26" t="str">
        <f>(F26/$E$14)*$F$14</f>
        <v>#ERROR!</v>
      </c>
    </row>
    <row r="27">
      <c r="B27" t="str">
        <v>Enzimas</v>
      </c>
      <c r="C27" t="str">
        <v>kg</v>
      </c>
      <c r="D27" t="str">
        <f>'RENOVACALC Solidos'!#REF!</f>
        <v>#ERROR!</v>
      </c>
      <c r="F27" t="str">
        <f>D27*'_DADOSAUXILIARES'!$H$99</f>
        <v>#ERROR!</v>
      </c>
      <c r="H27" t="str">
        <f>(F27/$E$13)*$F$13</f>
        <v>#ERROR!</v>
      </c>
      <c r="I27" t="str">
        <f>(F27/$E$14)*$F$14</f>
        <v>#ERROR!</v>
      </c>
    </row>
    <row r="28">
      <c r="B28" t="str">
        <v>Ácido sulfúrico</v>
      </c>
      <c r="C28" t="str">
        <v>kg</v>
      </c>
      <c r="D28" t="str">
        <f>'RENOVACALC Solidos'!#REF!</f>
        <v>#ERROR!</v>
      </c>
      <c r="F28" t="str">
        <f>D28*'_DADOSAUXILIARES'!$H$88</f>
        <v>#ERROR!</v>
      </c>
      <c r="H28" t="str">
        <f>(F28/$E$13)*$F$13</f>
        <v>#ERROR!</v>
      </c>
      <c r="I28" t="str">
        <f>(F28/$E$14)*$F$14</f>
        <v>#ERROR!</v>
      </c>
    </row>
    <row r="29">
      <c r="B29" t="str">
        <v>Amônia</v>
      </c>
      <c r="C29" t="str">
        <v>kg</v>
      </c>
      <c r="D29" t="str">
        <f>'RENOVACALC Solidos'!#REF!</f>
        <v>#ERROR!</v>
      </c>
      <c r="F29" t="str">
        <f>D29*'_DADOSAUXILIARES'!$H$95</f>
        <v>#ERROR!</v>
      </c>
      <c r="H29" t="str">
        <f>(F29/$E$13)*$F$13</f>
        <v>#ERROR!</v>
      </c>
      <c r="I29" t="str">
        <f>(F29/$E$14)*$F$14</f>
        <v>#ERROR!</v>
      </c>
    </row>
    <row r="30">
      <c r="B30" t="str">
        <v>Hidróxido de sódio</v>
      </c>
      <c r="C30" t="str">
        <v>kg</v>
      </c>
      <c r="D30" t="str">
        <f>'RENOVACALC Solidos'!#REF!</f>
        <v>#ERROR!</v>
      </c>
      <c r="F30" t="str">
        <f>D30*'_DADOSAUXILIARES'!$H$97</f>
        <v>#ERROR!</v>
      </c>
      <c r="H30" t="str">
        <f>(F30/$E$13)*$F$13</f>
        <v>#ERROR!</v>
      </c>
      <c r="I30" t="str">
        <f>(F30/$E$14)*$F$14</f>
        <v>#ERROR!</v>
      </c>
    </row>
    <row r="31">
      <c r="B31" t="str">
        <v>Combustíveis e eletricidade</v>
      </c>
    </row>
    <row r="32">
      <c r="B32" t="str">
        <v>Bagaço de terceiros</v>
      </c>
      <c r="C32" t="str">
        <v>kg base seca</v>
      </c>
      <c r="D32" t="str">
        <f>'RENOVACALC Solidos'!#REF!*(1-'RENOVACALC Solidos'!#REF!)</f>
        <v>#ERROR!</v>
      </c>
      <c r="F32">
        <v>0</v>
      </c>
      <c r="H32" t="str">
        <f>(F32/$E$13)*$F$13</f>
        <v>#ERROR!</v>
      </c>
      <c r="I32" t="str">
        <f>(F32/$E$14)*$F$14</f>
        <v>#ERROR!</v>
      </c>
    </row>
    <row r="33">
      <c r="B33" t="str">
        <v>Transporte de bagaço de terceiros</v>
      </c>
      <c r="C33" t="str">
        <v>tkm</v>
      </c>
      <c r="D33" t="str">
        <f>((D32/1000)*'RENOVACALC Solidos'!#REF!)</f>
        <v>#ERROR!</v>
      </c>
      <c r="F33" t="str">
        <f>D33*'_DADOSAUXILIARES'!$H$131</f>
        <v>#ERROR!</v>
      </c>
      <c r="H33" t="str">
        <f>(F33/$E$13)*$F$13</f>
        <v>#ERROR!</v>
      </c>
      <c r="I33" t="str">
        <f>(F33/$E$14)*$F$14</f>
        <v>#ERROR!</v>
      </c>
    </row>
    <row r="34">
      <c r="B34" t="str">
        <v>Palha de terceiros</v>
      </c>
      <c r="C34" t="str">
        <v>kg base seca</v>
      </c>
      <c r="D34" t="str">
        <f>'RENOVACALC Solidos'!#REF!*(1-'RENOVACALC Solidos'!#REF!)</f>
        <v>#ERROR!</v>
      </c>
      <c r="F34" t="str">
        <f>D34*'_DADOSAUXILIARES'!$H$78</f>
        <v>#ERROR!</v>
      </c>
      <c r="H34" t="str">
        <f>(F34/$E$13)*$F$13</f>
        <v>#ERROR!</v>
      </c>
      <c r="I34" t="str">
        <f>(F34/$E$14)*$F$14</f>
        <v>#ERROR!</v>
      </c>
    </row>
    <row r="35">
      <c r="B35" t="str">
        <v>Transporte de palha de terceiros</v>
      </c>
      <c r="C35" t="str">
        <v>tkm</v>
      </c>
      <c r="D35" t="str">
        <f>((D34/1000)*'RENOVACALC Solidos'!#REF!)</f>
        <v>#ERROR!</v>
      </c>
      <c r="F35" t="str">
        <f>D35*'_DADOSAUXILIARES'!$H$131</f>
        <v>#ERROR!</v>
      </c>
      <c r="H35" t="str">
        <f>(F35/$E$13)*$F$13</f>
        <v>#ERROR!</v>
      </c>
      <c r="I35" t="str">
        <f>(F35/$E$14)*$F$14</f>
        <v>#ERROR!</v>
      </c>
    </row>
    <row r="36">
      <c r="B36" t="str">
        <v>Cavaco de madeira</v>
      </c>
      <c r="C36" t="str">
        <v>kg base seca</v>
      </c>
      <c r="D36" t="str">
        <f>'RENOVACALC Solidos'!#REF!*(1-'RENOVACALC Solidos'!#REF!)</f>
        <v>#ERROR!</v>
      </c>
      <c r="F36" t="str">
        <f>D36*'_DADOSAUXILIARES'!$H$123</f>
        <v>#ERROR!</v>
      </c>
      <c r="H36" t="str">
        <f>(F36/$E$13)*$F$13</f>
        <v>#ERROR!</v>
      </c>
      <c r="I36" t="str">
        <f>(F36/$E$14)*$F$14</f>
        <v>#ERROR!</v>
      </c>
    </row>
    <row r="37">
      <c r="B37" t="str">
        <v>Transporte de cavaco de madeira</v>
      </c>
      <c r="C37" t="str">
        <v>tkm</v>
      </c>
      <c r="D37" t="str">
        <f>((D36/1000)*'RENOVACALC Solidos'!#REF!)</f>
        <v>#ERROR!</v>
      </c>
      <c r="F37" t="str">
        <f>D37*'_DADOSAUXILIARES'!$H$131</f>
        <v>#ERROR!</v>
      </c>
      <c r="H37" t="str">
        <f>(F37/$E$13)*$F$13</f>
        <v>#ERROR!</v>
      </c>
      <c r="I37" t="str">
        <f>(F37/$E$14)*$F$14</f>
        <v>#ERROR!</v>
      </c>
    </row>
    <row r="38">
      <c r="B38" t="str">
        <v>Lenha</v>
      </c>
      <c r="C38" t="str">
        <v>kg base seca</v>
      </c>
      <c r="D38" t="str">
        <f>'RENOVACALC Solidos'!#REF!*(1-'RENOVACALC Solidos'!#REF!)</f>
        <v>#ERROR!</v>
      </c>
      <c r="F38" t="str">
        <f>D38*'_DADOSAUXILIARES'!$H$124</f>
        <v>#ERROR!</v>
      </c>
      <c r="H38" t="str">
        <f>(F38/$E$13)*$F$13</f>
        <v>#ERROR!</v>
      </c>
      <c r="I38" t="str">
        <f>(F38/$E$14)*$F$14</f>
        <v>#ERROR!</v>
      </c>
    </row>
    <row r="39">
      <c r="B39" t="str">
        <v>Transporte de lenha</v>
      </c>
      <c r="C39" t="str">
        <v>tkm</v>
      </c>
      <c r="D39" t="str">
        <f>((D38/1000)*'RENOVACALC Solidos'!#REF!)</f>
        <v>#ERROR!</v>
      </c>
      <c r="F39" t="str">
        <f>D39*'_DADOSAUXILIARES'!$H$131</f>
        <v>#ERROR!</v>
      </c>
      <c r="H39" t="str">
        <f>(F39/$E$13)*$F$13</f>
        <v>#ERROR!</v>
      </c>
      <c r="I39" t="str">
        <f>(F39/$E$14)*$F$14</f>
        <v>#ERROR!</v>
      </c>
    </row>
    <row r="40">
      <c r="B40" t="str">
        <v>Resíduos florestais</v>
      </c>
      <c r="C40" t="str">
        <v>kg base seca</v>
      </c>
      <c r="D40" t="str">
        <f>'RENOVACALC Solidos'!#REF!*(1-'RENOVACALC Solidos'!#REF!)</f>
        <v>#ERROR!</v>
      </c>
      <c r="F40">
        <v>0</v>
      </c>
      <c r="H40" t="str">
        <f>(F40/$E$13)*$F$13</f>
        <v>#ERROR!</v>
      </c>
      <c r="I40" t="str">
        <f>(F40/$E$14)*$F$14</f>
        <v>#ERROR!</v>
      </c>
    </row>
    <row r="41">
      <c r="B41" t="str">
        <v>Transporte de resíduos florestais</v>
      </c>
      <c r="C41" t="str">
        <v>tkm</v>
      </c>
      <c r="D41" t="str">
        <f>((D40/1000)*'RENOVACALC Solidos'!#REF!)</f>
        <v>#ERROR!</v>
      </c>
      <c r="F41" t="str">
        <f>D41*'_DADOSAUXILIARES'!$H$131</f>
        <v>#ERROR!</v>
      </c>
      <c r="H41" t="str">
        <f>(F41/$E$13)*$F$13</f>
        <v>#ERROR!</v>
      </c>
      <c r="I41" t="str">
        <f>(F41/$E$14)*$F$14</f>
        <v>#ERROR!</v>
      </c>
    </row>
    <row r="42">
      <c r="B42" t="str">
        <v>Óleo combusível</v>
      </c>
      <c r="C42" t="str">
        <v>kg</v>
      </c>
      <c r="D42" t="str">
        <f>'RENOVACALC Solidos'!#REF!*_DADOSAUXILIARES!$D$30</f>
        <v>#ERROR!</v>
      </c>
      <c r="F42" t="str">
        <f>D42*'_DADOSAUXILIARES'!$H$126</f>
        <v>#ERROR!</v>
      </c>
      <c r="H42" t="str">
        <f>(F42/$E$13)*$F$13</f>
        <v>#ERROR!</v>
      </c>
      <c r="I42" t="str">
        <f>(F42/$E$14)*$F$14</f>
        <v>#ERROR!</v>
      </c>
    </row>
    <row r="43">
      <c r="B43" t="str">
        <v>Biogás de terceiros</v>
      </c>
      <c r="C43" t="str">
        <v>Nm³</v>
      </c>
      <c r="D43" t="str">
        <f>'RENOVACALC Solidos'!#REF!</f>
        <v>#ERROR!</v>
      </c>
      <c r="F43" t="str">
        <f>D43*'RENOVACALC Solidos'!#REF!*_DADOSAUXILIARES!$H$125</f>
        <v>#ERROR!</v>
      </c>
      <c r="H43" t="str">
        <f>(F43/$E$13)*$F$13</f>
        <v>#ERROR!</v>
      </c>
      <c r="I43" t="str">
        <f>(F43/$E$14)*$F$14</f>
        <v>#ERROR!</v>
      </c>
    </row>
    <row r="44">
      <c r="B44" t="str">
        <v>Eletricidade da rede - mix médio</v>
      </c>
      <c r="C44" t="str">
        <v>kWh</v>
      </c>
      <c r="D44" t="str">
        <f>'RENOVACALC Solidos'!#REF!</f>
        <v>#ERROR!</v>
      </c>
      <c r="F44" t="str">
        <f>D44*'_DADOSAUXILIARES'!$H$107</f>
        <v>#ERROR!</v>
      </c>
      <c r="H44" t="str">
        <f>(F44/$E$13)*$F$13</f>
        <v>#ERROR!</v>
      </c>
      <c r="I44" t="str">
        <f>(F44/$E$14)*$F$14</f>
        <v>#ERROR!</v>
      </c>
    </row>
    <row r="45">
      <c r="B45" t="str">
        <v>Eletricidade - PCH</v>
      </c>
      <c r="C45" t="str">
        <v>kWh</v>
      </c>
      <c r="D45" t="str">
        <f>'RENOVACALC Solidos'!#REF!</f>
        <v>#ERROR!</v>
      </c>
      <c r="F45" t="str">
        <f>D45*'_DADOSAUXILIARES'!$H$108</f>
        <v>#ERROR!</v>
      </c>
      <c r="H45" t="str">
        <f>(F45/$E$13)*$F$13</f>
        <v>#ERROR!</v>
      </c>
      <c r="I45" t="str">
        <f>(F45/$E$14)*$F$14</f>
        <v>#ERROR!</v>
      </c>
    </row>
    <row r="46">
      <c r="B46" t="str">
        <v>Eletricidade - biomassa</v>
      </c>
      <c r="C46" t="str">
        <v>kWh</v>
      </c>
      <c r="D46" t="str">
        <f>'RENOVACALC Solidos'!#REF!</f>
        <v>#ERROR!</v>
      </c>
      <c r="F46" t="str">
        <f>D46*'_DADOSAUXILIARES'!$H$109</f>
        <v>#ERROR!</v>
      </c>
      <c r="H46" t="str">
        <f>(F46/$E$13)*$F$13</f>
        <v>#ERROR!</v>
      </c>
      <c r="I46" t="str">
        <f>(F46/$E$14)*$F$14</f>
        <v>#ERROR!</v>
      </c>
    </row>
    <row r="47">
      <c r="B47" t="str">
        <v>Eletricidade - eólica</v>
      </c>
      <c r="C47" t="str">
        <v>kWh</v>
      </c>
      <c r="D47" t="str">
        <f>'RENOVACALC Solidos'!#REF!</f>
        <v>#ERROR!</v>
      </c>
      <c r="F47" t="str">
        <f>D47*'_DADOSAUXILIARES'!$H$110</f>
        <v>#ERROR!</v>
      </c>
      <c r="H47" t="str">
        <f>(F47/$E$13)*$F$13</f>
        <v>#ERROR!</v>
      </c>
      <c r="I47" t="str">
        <f>(F47/$E$14)*$F$14</f>
        <v>#ERROR!</v>
      </c>
    </row>
    <row r="48">
      <c r="B48" t="str">
        <v>Eletricidade - solar</v>
      </c>
      <c r="C48" t="str">
        <v>kWh</v>
      </c>
      <c r="D48" t="str">
        <f>'RENOVACALC Solidos'!#REF!</f>
        <v>#ERROR!</v>
      </c>
      <c r="F48" t="str">
        <f>D48*'_DADOSAUXILIARES'!$H$111</f>
        <v>#ERROR!</v>
      </c>
      <c r="H48" t="str">
        <f>(F48/$E$13)*$F$13</f>
        <v>#ERROR!</v>
      </c>
      <c r="I48" t="str">
        <f>(F48/$E$14)*$F$14</f>
        <v>#ERROR!</v>
      </c>
    </row>
    <row r="49">
      <c r="B49" t="str">
        <v>Diesel B0</v>
      </c>
      <c r="C49" t="str">
        <v>kg</v>
      </c>
      <c r="D49" t="str">
        <f>('RENOVACALC Solidos'!#REF!*(1-0.1)+'RENOVACALC Solidos'!#REF!*(1-0.11)+'RENOVACALC Solidos'!#REF!*(1-0.15)+'RENOVACALC Solidos'!#REF!*(1-'RENOVACALC Solidos'!#REF!)+'RENOVACALC Solidos'!#REF!*(1-0.2)+'RENOVACALC Solidos'!#REF!*(1-0.3)+'RENOVACALC Solidos'!#REF!*(1-1))*_DADOSAUXILIARES!$D$26</f>
        <v>#ERROR!</v>
      </c>
      <c r="F49" t="str">
        <f>D49*'_DADOSAUXILIARES'!H116</f>
        <v>#ERROR!</v>
      </c>
      <c r="H49" t="str">
        <f>(F49/$E$13)*$F$13</f>
        <v>#ERROR!</v>
      </c>
      <c r="I49" t="str">
        <f>(F49/$E$14)*$F$14</f>
        <v>#ERROR!</v>
      </c>
    </row>
    <row r="50">
      <c r="B50" t="str">
        <v>Biodiesel B100</v>
      </c>
      <c r="C50" t="str">
        <v>kg</v>
      </c>
      <c r="D50" t="str">
        <f>('RENOVACALC Solidos'!#REF!*0.1+'RENOVACALC Solidos'!#REF!*0.11+'RENOVACALC Solidos'!#REF!*0.15+'RENOVACALC Solidos'!#REF!*'RENOVACALC Solidos'!#REF!+'RENOVACALC Solidos'!#REF!*0.2+'RENOVACALC Solidos'!#REF!*0.3+'RENOVACALC Solidos'!#REF!*1)*_DADOSAUXILIARES!$D$17</f>
        <v>#ERROR!</v>
      </c>
      <c r="F50" t="str">
        <f>D50*'_DADOSAUXILIARES'!H117</f>
        <v>#ERROR!</v>
      </c>
      <c r="H50" t="str">
        <f>(F50/$E$13)*$F$13</f>
        <v>#ERROR!</v>
      </c>
      <c r="I50" t="str">
        <f>(F50/$E$14)*$F$14</f>
        <v>#ERROR!</v>
      </c>
    </row>
    <row r="51">
      <c r="B51" t="str">
        <v>Emissões</v>
      </c>
      <c r="C51" t="str">
        <v>Unidade</v>
      </c>
      <c r="D51" t="str">
        <v>1 MLC</v>
      </c>
      <c r="F51" t="str">
        <v>g CO2 eq/t cana</v>
      </c>
      <c r="H51" t="str">
        <v>g CO2 eq/MJ</v>
      </c>
      <c r="I51" t="str">
        <v>g CO2 eq/MJ</v>
      </c>
    </row>
    <row r="52">
      <c r="B52" t="str">
        <v>CO₂ eq - queima do bagaço de terceiros</v>
      </c>
      <c r="C52" t="str">
        <v>kg</v>
      </c>
      <c r="D52" t="str">
        <f>$D$32*'_QUEIMACOMB_RENOVACALC'!$I$36/1000</f>
        <v>#ERROR!</v>
      </c>
      <c r="F52" t="str">
        <f>D52*1000</f>
        <v>#ERROR!</v>
      </c>
      <c r="H52" t="str">
        <f>(F52/$E$13)*$F$13</f>
        <v>#ERROR!</v>
      </c>
      <c r="I52" t="str">
        <f>(F52/$E$14)*$F$14</f>
        <v>#ERROR!</v>
      </c>
    </row>
    <row r="53">
      <c r="B53" t="str">
        <v>CO₂ eq - queima da palha de terceiros</v>
      </c>
      <c r="C53" t="str">
        <v>kg</v>
      </c>
      <c r="D53" t="str">
        <f>$D$34*'_QUEIMACOMB_RENOVACALC'!$I$37/1000</f>
        <v>#ERROR!</v>
      </c>
      <c r="F53" t="str">
        <f>D53*1000</f>
        <v>#ERROR!</v>
      </c>
      <c r="H53" t="str">
        <f>(F53/$E$13)*$F$13</f>
        <v>#ERROR!</v>
      </c>
      <c r="I53" t="str">
        <f>(F53/$E$14)*$F$14</f>
        <v>#ERROR!</v>
      </c>
    </row>
    <row r="54">
      <c r="B54" t="str">
        <v>CO₂ eq - queima dos cavacos de madeira</v>
      </c>
      <c r="C54" t="str">
        <v>kg</v>
      </c>
      <c r="D54" t="str">
        <f>$D$36*'_QUEIMACOMB_RENOVACALC'!$I$38/1000</f>
        <v>#ERROR!</v>
      </c>
      <c r="F54" t="str">
        <f>D54*1000</f>
        <v>#ERROR!</v>
      </c>
      <c r="H54" t="str">
        <f>(F54/$E$13)*$F$13</f>
        <v>#ERROR!</v>
      </c>
      <c r="I54" t="str">
        <f>(F54/$E$14)*$F$14</f>
        <v>#ERROR!</v>
      </c>
    </row>
    <row r="55">
      <c r="B55" t="str">
        <v>CO₂ eq - queima da lenha</v>
      </c>
      <c r="C55" t="str">
        <v>kg</v>
      </c>
      <c r="D55" t="str">
        <f>$D$38*'_QUEIMACOMB_RENOVACALC'!$I$39/1000</f>
        <v>#ERROR!</v>
      </c>
      <c r="F55" t="str">
        <f>D55*1000</f>
        <v>#ERROR!</v>
      </c>
      <c r="H55" t="str">
        <f>(F55/$E$13)*$F$13</f>
        <v>#ERROR!</v>
      </c>
      <c r="I55" t="str">
        <f>(F55/$E$14)*$F$14</f>
        <v>#ERROR!</v>
      </c>
    </row>
    <row r="56">
      <c r="B56" t="str">
        <v>CO₂ eq - queima dos resíduos florestais</v>
      </c>
      <c r="C56" t="str">
        <v>kg</v>
      </c>
      <c r="D56" t="str">
        <f>$D$40*'_QUEIMACOMB_RENOVACALC'!$I$40/1000</f>
        <v>#ERROR!</v>
      </c>
      <c r="F56" t="str">
        <f>D56*1000</f>
        <v>#ERROR!</v>
      </c>
      <c r="H56" t="str">
        <f>(F56/$E$13)*$F$13</f>
        <v>#ERROR!</v>
      </c>
      <c r="I56" t="str">
        <f>(F56/$E$14)*$F$14</f>
        <v>#ERROR!</v>
      </c>
    </row>
    <row r="57">
      <c r="B57" t="str">
        <v>CO₂ eq - queima do óleo combustível</v>
      </c>
      <c r="C57" t="str">
        <v>kg</v>
      </c>
      <c r="D57" t="str">
        <f>D42*'_QUEIMACOMB_RENOVACALC'!$I$53/1000</f>
        <v>#ERROR!</v>
      </c>
      <c r="F57" t="str">
        <f>D57*1000</f>
        <v>#ERROR!</v>
      </c>
      <c r="H57" t="str">
        <f>(F57/$E$13)*$F$13</f>
        <v>#ERROR!</v>
      </c>
      <c r="I57" t="str">
        <f>(F57/$E$14)*$F$14</f>
        <v>#ERROR!</v>
      </c>
    </row>
    <row r="58">
      <c r="B58" t="str">
        <v>CO₂ eq - queima do etanol hidratado próprio</v>
      </c>
      <c r="C58" t="str">
        <v>kg</v>
      </c>
      <c r="D58" t="str">
        <f>'RENOVACALC Solidos'!#REF!*_DADOSAUXILIARES!$D$16*_QUEIMACOMB_RENOVACALC!$I$57/1000</f>
        <v>#ERROR!</v>
      </c>
      <c r="F58" t="str">
        <f>D58*1000</f>
        <v>#ERROR!</v>
      </c>
      <c r="H58" t="str">
        <f>(F58/$E$13)*$F$13</f>
        <v>#ERROR!</v>
      </c>
      <c r="I58" t="str">
        <f>(F58/$E$14)*$F$14</f>
        <v>#ERROR!</v>
      </c>
    </row>
    <row r="59">
      <c r="B59" t="str">
        <v>CO₂ eq - queima do etanol anidro próprio</v>
      </c>
      <c r="C59" t="str">
        <v>kg</v>
      </c>
      <c r="D59" t="str">
        <f>'RENOVACALC Solidos'!#REF!*_DADOSAUXILIARES!$D$15*_QUEIMACOMB_RENOVACALC!$I$55/1000</f>
        <v>#ERROR!</v>
      </c>
      <c r="F59" t="str">
        <f>D59*1000</f>
        <v>#ERROR!</v>
      </c>
      <c r="H59" t="str">
        <f>(F59/$E$13)*$F$13</f>
        <v>#ERROR!</v>
      </c>
      <c r="I59" t="str">
        <f>(F59/$E$14)*$F$14</f>
        <v>#ERROR!</v>
      </c>
    </row>
    <row r="60">
      <c r="B60" t="str">
        <v>CO₂ eq - queima do biogás próprio</v>
      </c>
      <c r="C60" t="str">
        <v>kg</v>
      </c>
      <c r="D60" t="str">
        <f>'RENOVACALC Solidos'!#REF!*'RENOVACALC Solidos'!#REF!*_QUEIMACOMB_RENOVACALC!$I$41/1000</f>
        <v>#ERROR!</v>
      </c>
      <c r="F60" t="str">
        <f>D60*1000</f>
        <v>#ERROR!</v>
      </c>
      <c r="H60" t="str">
        <f>(F60/$E$13)*$F$13</f>
        <v>#ERROR!</v>
      </c>
      <c r="I60" t="str">
        <f>(F60/$E$14)*$F$14</f>
        <v>#ERROR!</v>
      </c>
    </row>
    <row r="61">
      <c r="B61" t="str">
        <v>CO₂ eq - queima do biogás de terceiros</v>
      </c>
      <c r="C61" t="str">
        <v>kg</v>
      </c>
      <c r="D61" t="str">
        <f>'RENOVACALC Solidos'!#REF!*'RENOVACALC Solidos'!#REF!*_QUEIMACOMB_RENOVACALC!$I$41/1000</f>
        <v>#ERROR!</v>
      </c>
      <c r="F61" t="str">
        <f>D61*1000</f>
        <v>#ERROR!</v>
      </c>
      <c r="H61" t="str">
        <f>(F61/$E$13)*$F$13</f>
        <v>#ERROR!</v>
      </c>
      <c r="I61" t="str">
        <f>(F61/$E$14)*$F$14</f>
        <v>#ERROR!</v>
      </c>
    </row>
    <row r="62">
      <c r="B62" t="str">
        <v>CO₂ eq - queima do diesel</v>
      </c>
      <c r="C62" t="str">
        <v>kg</v>
      </c>
      <c r="D62" t="str">
        <f>D49*'_QUEIMACOMB_RENOVACALC'!$I$50/1000</f>
        <v>#ERROR!</v>
      </c>
      <c r="F62" t="str">
        <f>D62*1000</f>
        <v>#ERROR!</v>
      </c>
      <c r="H62" t="str">
        <f>(F62/$E$13)*$F$13</f>
        <v>#ERROR!</v>
      </c>
      <c r="I62" t="str">
        <f>(F62/$E$14)*$F$14</f>
        <v>#ERROR!</v>
      </c>
    </row>
    <row r="63">
      <c r="B63" t="str">
        <v>CO₂ eq - queima do biodiesel</v>
      </c>
      <c r="C63" t="str">
        <v>kg</v>
      </c>
      <c r="D63" t="str">
        <f>D50*'_QUEIMACOMB_RENOVACALC'!$I$51/1000</f>
        <v>#ERROR!</v>
      </c>
      <c r="F63" t="str">
        <f>D63*1000</f>
        <v>#ERROR!</v>
      </c>
      <c r="H63" t="str">
        <f>(F63/$E$13)*$F$13</f>
        <v>#ERROR!</v>
      </c>
      <c r="I63" t="str">
        <f>(F63/$E$14)*$F$14</f>
        <v>#ERROR!</v>
      </c>
    </row>
    <row r="65">
      <c r="B65" t="str">
        <v>Emissões do processo</v>
      </c>
      <c r="C65" t="str">
        <v>g CO2 eq/t MLC</v>
      </c>
      <c r="F65" t="str">
        <f>SUM(F52:F63)</f>
        <v>#ERROR!</v>
      </c>
      <c r="H65" t="str">
        <f>(F65/$E$13)*$F$13</f>
        <v>#ERROR!</v>
      </c>
      <c r="I65" t="str">
        <f>(F65/$E$14)*$F$14</f>
        <v>#ERROR!</v>
      </c>
    </row>
    <row r="66">
      <c r="B66" t="str">
        <v>Emissões background</v>
      </c>
      <c r="C66" t="str">
        <v>g CO2 eq/t MLC</v>
      </c>
      <c r="F66" t="str">
        <f>SUM(F17:F50)</f>
        <v>#ERROR!</v>
      </c>
      <c r="H66" t="str">
        <f>(F66/$E$13)*$F$13</f>
        <v>#ERROR!</v>
      </c>
      <c r="I66" t="str">
        <f>(F66/$E$14)*$F$14</f>
        <v>#ERROR!</v>
      </c>
    </row>
    <row r="67">
      <c r="B67" t="str">
        <v>Emissões totais</v>
      </c>
      <c r="C67" t="str">
        <v>g CO2 eq/t MLC</v>
      </c>
      <c r="F67" t="str">
        <f>F65+F66</f>
        <v>#ERROR!</v>
      </c>
      <c r="H67" t="str">
        <f>(F67/$E$13)*$F$13</f>
        <v>#ERROR!</v>
      </c>
      <c r="I67" t="str">
        <f>(F67/$E$14)*$F$14</f>
        <v>#ERROR!</v>
      </c>
    </row>
    <row r="70">
      <c r="B70" t="str">
        <v>Etapa distribuição</v>
      </c>
    </row>
    <row r="71">
      <c r="B71" t="str">
        <v>Sistema logístico rodoviário</v>
      </c>
    </row>
    <row r="72">
      <c r="B72" t="str">
        <v>Parâmetro</v>
      </c>
      <c r="C72" t="str">
        <v>Unidade</v>
      </c>
      <c r="D72" t="str">
        <v>Etanol anidro</v>
      </c>
      <c r="E72" t="str">
        <v>Etanol hidratado</v>
      </c>
    </row>
    <row r="73">
      <c r="B73" t="str">
        <v>Massa</v>
      </c>
      <c r="C73" t="str">
        <v>kg/t MLC</v>
      </c>
      <c r="D73" t="str">
        <f>$D$13*'RENOVACALC Solidos'!#REF!</f>
        <v>#ERROR!</v>
      </c>
      <c r="E73" t="str">
        <f>$D$14*'RENOVACALC Solidos'!#REF!</f>
        <v>#ERROR!</v>
      </c>
    </row>
    <row r="74">
      <c r="B74" t="str">
        <v>Distância de transporte rodoviário</v>
      </c>
      <c r="C74" t="str">
        <v>km</v>
      </c>
      <c r="D74" t="str">
        <f>'_DADOSAUXILIARES'!C155</f>
        <v>#REF!</v>
      </c>
      <c r="E74" t="str">
        <f>'_DADOSAUXILIARES'!C155</f>
        <v>#REF!</v>
      </c>
    </row>
    <row r="75">
      <c r="B75" t="str">
        <v>Transporte rodoviário</v>
      </c>
      <c r="C75" t="str">
        <v>tkm/t MLC</v>
      </c>
      <c r="D75" t="str">
        <f>D73/1000*D74</f>
        <v>#ERROR!</v>
      </c>
      <c r="E75" t="str">
        <f>E73/1000*E74</f>
        <v>#ERROR!</v>
      </c>
    </row>
    <row r="76">
      <c r="B76" t="str">
        <v>Emissões</v>
      </c>
      <c r="C76" t="str">
        <v>g CO2 eq/t MLC</v>
      </c>
      <c r="D76" t="str">
        <f>D75*'_DADOSAUXILIARES'!$H$132</f>
        <v>#ERROR!</v>
      </c>
      <c r="E76" t="str">
        <f>E75*'_DADOSAUXILIARES'!$H$132</f>
        <v>#ERROR!</v>
      </c>
    </row>
    <row r="77">
      <c r="B77" t="str">
        <v>Emissões</v>
      </c>
      <c r="C77" t="str">
        <v>g CO2 eq/MJ</v>
      </c>
      <c r="D77" t="str">
        <f>D76/$E$13</f>
        <v>#ERROR!</v>
      </c>
      <c r="E77" t="str">
        <f>E76/$E$14</f>
        <v>#ERROR!</v>
      </c>
    </row>
    <row r="78">
      <c r="B78" t="str">
        <v>Sistema logístico dutoviário</v>
      </c>
    </row>
    <row r="79">
      <c r="B79" t="str">
        <v>Parâmetro</v>
      </c>
      <c r="C79" t="str">
        <v>Unidade</v>
      </c>
      <c r="D79" t="str">
        <v>Etanol anidro</v>
      </c>
      <c r="E79" t="str">
        <v>Etanol hidratado</v>
      </c>
    </row>
    <row r="80">
      <c r="B80" t="str">
        <v>Massa</v>
      </c>
      <c r="C80" t="str">
        <v>kg/t MLC</v>
      </c>
      <c r="D80" t="str">
        <f>$D$13*'RENOVACALC Solidos'!#REF!</f>
        <v>#ERROR!</v>
      </c>
      <c r="E80" t="str">
        <f>$D$14*'RENOVACALC Solidos'!#REF!</f>
        <v>#ERROR!</v>
      </c>
    </row>
    <row r="81">
      <c r="B81" t="str">
        <v>Distância de transporte rodoviário</v>
      </c>
      <c r="C81" t="str">
        <v>km</v>
      </c>
      <c r="D81" t="str">
        <f>'_DADOSAUXILIARES'!E155</f>
        <v>#REF!</v>
      </c>
      <c r="E81" t="str">
        <f>'_DADOSAUXILIARES'!E155</f>
        <v>#REF!</v>
      </c>
    </row>
    <row r="82">
      <c r="B82" t="str">
        <v>Transporte rodoviário</v>
      </c>
      <c r="C82" t="str">
        <v>tkm/t MLC</v>
      </c>
      <c r="D82" t="str">
        <f>D80/1000*D81</f>
        <v>#ERROR!</v>
      </c>
      <c r="E82" t="str">
        <f>E80/1000*E81</f>
        <v>#ERROR!</v>
      </c>
    </row>
    <row r="83">
      <c r="B83" t="str">
        <v>Distância de transporte dutoviário</v>
      </c>
      <c r="C83" t="str">
        <v>km</v>
      </c>
      <c r="D83" t="str">
        <f>'_DADOSAUXILIARES'!D155</f>
        <v>#REF!</v>
      </c>
      <c r="E83" t="str">
        <f>'_DADOSAUXILIARES'!D155</f>
        <v>#REF!</v>
      </c>
    </row>
    <row r="84">
      <c r="B84" t="str">
        <v>Transporte dutoviário</v>
      </c>
      <c r="C84" t="str">
        <v>tkm/t MLC</v>
      </c>
      <c r="D84" t="str">
        <f>D80/1000*D83</f>
        <v>#ERROR!</v>
      </c>
      <c r="E84" t="str">
        <f>E80/1000*E83</f>
        <v>#ERROR!</v>
      </c>
    </row>
    <row r="85">
      <c r="B85" t="str">
        <v>Emissões</v>
      </c>
      <c r="C85" t="str">
        <v>g CO2 eq/t MLC</v>
      </c>
      <c r="D85" t="str">
        <f>D82*'_DADOSAUXILIARES'!$H$132+D84*'_DADOSAUXILIARES'!$H$136</f>
        <v>#ERROR!</v>
      </c>
      <c r="E85" t="str">
        <f>E82*'_DADOSAUXILIARES'!$H$132+E84*'_DADOSAUXILIARES'!$H$136</f>
        <v>#ERROR!</v>
      </c>
    </row>
    <row r="86">
      <c r="B86" t="str">
        <v>Emissões</v>
      </c>
      <c r="C86" t="str">
        <v>g CO2 eq/MJ</v>
      </c>
      <c r="D86" t="str">
        <f>D85/$E$13</f>
        <v>#ERROR!</v>
      </c>
      <c r="E86" t="str">
        <f>E85/$E$14</f>
        <v>#ERROR!</v>
      </c>
    </row>
    <row r="87">
      <c r="B87" t="str">
        <v>Sistema logístico ferroviário</v>
      </c>
    </row>
    <row r="88">
      <c r="B88" t="str">
        <v>Parâmetro</v>
      </c>
      <c r="C88" t="str">
        <v>Unidade</v>
      </c>
      <c r="D88" t="str">
        <v>Etanol anidro</v>
      </c>
      <c r="E88" t="str">
        <v>Etanol hidratado</v>
      </c>
    </row>
    <row r="89">
      <c r="B89" t="str">
        <v>Massa</v>
      </c>
      <c r="C89" t="str">
        <v>kg/t MLC</v>
      </c>
      <c r="D89" t="str">
        <f>$D$13*'RENOVACALC Solidos'!#REF!</f>
        <v>#ERROR!</v>
      </c>
      <c r="E89" t="str">
        <f>$D$14*'RENOVACALC Solidos'!#REF!</f>
        <v>#ERROR!</v>
      </c>
    </row>
    <row r="90">
      <c r="B90" t="str">
        <v>Distância de transporte rodoviário</v>
      </c>
      <c r="C90" t="str">
        <v>km</v>
      </c>
      <c r="D90" t="str">
        <f>'_DADOSAUXILIARES'!G155</f>
        <v>#REF!</v>
      </c>
      <c r="E90" t="str">
        <f>'_DADOSAUXILIARES'!G155</f>
        <v>#REF!</v>
      </c>
    </row>
    <row r="91">
      <c r="B91" t="str">
        <v>Transporte rodoviário</v>
      </c>
      <c r="C91" t="str">
        <v>tkm/t MLC</v>
      </c>
      <c r="D91" t="str">
        <f>D89/1000*D90</f>
        <v>#ERROR!</v>
      </c>
      <c r="E91" t="str">
        <f>E89/1000*E90</f>
        <v>#ERROR!</v>
      </c>
    </row>
    <row r="92">
      <c r="B92" t="str">
        <v>Distância de transporte ferroviário</v>
      </c>
      <c r="C92" t="str">
        <v>km</v>
      </c>
      <c r="D92" t="str">
        <f>'_DADOSAUXILIARES'!F155</f>
        <v>#REF!</v>
      </c>
      <c r="E92" t="str">
        <f>'_DADOSAUXILIARES'!F155</f>
        <v>#REF!</v>
      </c>
    </row>
    <row r="93">
      <c r="B93" t="str">
        <v>Transporte ferroviário</v>
      </c>
      <c r="C93" t="str">
        <v>tkm/t MLC</v>
      </c>
      <c r="D93" t="str">
        <f>D89/1000*D92</f>
        <v>#ERROR!</v>
      </c>
      <c r="E93" t="str">
        <f>E89/1000*E92</f>
        <v>#ERROR!</v>
      </c>
    </row>
    <row r="94">
      <c r="B94" t="str">
        <v>Emissões</v>
      </c>
      <c r="C94" t="str">
        <v>g CO2 eq/t MLC</v>
      </c>
      <c r="D94" t="str">
        <f>D91*'_DADOSAUXILIARES'!$H$132+D93*'_DADOSAUXILIARES'!$H$135</f>
        <v>#ERROR!</v>
      </c>
      <c r="E94" t="str">
        <f>E91*'_DADOSAUXILIARES'!$H$132+E93*'_DADOSAUXILIARES'!$H$135</f>
        <v>#ERROR!</v>
      </c>
    </row>
    <row r="95">
      <c r="B95" t="str">
        <v>Emissões</v>
      </c>
      <c r="C95" t="str">
        <v>g CO2 eq/MJ</v>
      </c>
      <c r="D95" t="str">
        <f>D94/$E$13</f>
        <v>#ERROR!</v>
      </c>
      <c r="E95" t="str">
        <f>E94/$E$14</f>
        <v>#ERROR!</v>
      </c>
    </row>
    <row r="97">
      <c r="B97" t="str">
        <v>Emissões totais</v>
      </c>
      <c r="C97" t="str">
        <v>g CO2 eq/MJ</v>
      </c>
      <c r="D97" t="str">
        <f>D77+D86+D95</f>
        <v>#ERROR!</v>
      </c>
      <c r="E97" t="str">
        <f>E77+E86+E95</f>
        <v>#ERROR!</v>
      </c>
    </row>
  </sheetData>
  <mergeCells count="9">
    <mergeCell ref="B11:F11"/>
    <mergeCell ref="B70:F70"/>
    <mergeCell ref="B2:F2"/>
    <mergeCell ref="C3:D3"/>
    <mergeCell ref="E3:F3"/>
    <mergeCell ref="C4:D4"/>
    <mergeCell ref="E4:F4"/>
    <mergeCell ref="H11:H15"/>
    <mergeCell ref="I11:I15"/>
  </mergeCells>
  <pageMargins left="0.511805555555555" right="0.511805555555555" top="0.7875" bottom="0.7875" header="0" footer="0"/>
  <ignoredErrors>
    <ignoredError numberStoredAsText="1" sqref="B1:I1000"/>
  </ignoredErrors>
</worksheet>
</file>

<file path=xl/worksheets/sheet8.xml><?xml version="1.0" encoding="utf-8"?>
<worksheet xmlns="http://schemas.openxmlformats.org/spreadsheetml/2006/main" xmlns:r="http://schemas.openxmlformats.org/officeDocument/2006/relationships">
  <dimension ref="B1:K1000"/>
  <sheetViews>
    <sheetView workbookViewId="0" rightToLeft="0"/>
  </sheetViews>
  <sheetData>
    <row r="2">
      <c r="B2" t="str">
        <v xml:space="preserve">Emissões de N2O diretas e indiretas </v>
      </c>
    </row>
    <row r="3">
      <c r="B3" t="str">
        <v>IPCC (2006) V.04 "Agricultura, floresta e outros usos da terra"</v>
      </c>
    </row>
    <row r="5">
      <c r="B5" t="str">
        <v>N2O= 44/28*(FE1*(Ntot+Nrc)+FE4*14/17*NH3+FE5*14/62*NO3-)</v>
      </c>
    </row>
    <row r="6">
      <c r="B6" t="str">
        <v>Onde:</v>
      </c>
    </row>
    <row r="7">
      <c r="B7" t="str">
        <v xml:space="preserve">N2O = Emissões de N2O [kg/ha]  </v>
      </c>
    </row>
    <row r="8">
      <c r="B8" t="str">
        <v>FE1= 0,01</v>
      </c>
    </row>
    <row r="9">
      <c r="B9" t="str">
        <v>Ntot= Nmin_fert+Norg_fert</v>
      </c>
    </row>
    <row r="10">
      <c r="B10" t="str">
        <v>Nrc= Quantidade de N em resíduos culturais [kg/ha]</v>
      </c>
    </row>
    <row r="11">
      <c r="B11" t="str">
        <v>FE4= 0,01</v>
      </c>
    </row>
    <row r="12">
      <c r="B12" t="str">
        <v>NH3= Perdas de Nitrogênio na forma de amônia [kg/ha]</v>
      </c>
    </row>
    <row r="13">
      <c r="B13" t="str">
        <v>FE5= 0,0075</v>
      </c>
    </row>
    <row r="14">
      <c r="B14" t="str">
        <v>NO3-= Perdas de Nitrogênio na forma de nitrato [kg/ha]</v>
      </c>
    </row>
    <row r="16">
      <c r="B16" t="str">
        <v>NH3= (Nmin_fert*0,1+Norg_fert*0,2)*17/14</v>
      </c>
    </row>
    <row r="17">
      <c r="B17" t="str">
        <v>NO3= (Nmin_fert+Norg_fert+Nrc)*0,3*62/14</v>
      </c>
    </row>
    <row r="18">
      <c r="B18" t="str">
        <v>Onde:</v>
      </c>
    </row>
    <row r="19">
      <c r="B19" t="str">
        <v>Nmin_fert= kg N/ha em fertilizantes minerais</v>
      </c>
    </row>
    <row r="20">
      <c r="B20" t="str">
        <v>Norg_fert= kg N/ha em fertilizantes orgânicos</v>
      </c>
    </row>
    <row r="21">
      <c r="B21" t="str">
        <v>0,1= Fração de N em fertilizante mineral (sintético) que volatiliza como NH3 e NOx</v>
      </c>
    </row>
    <row r="22">
      <c r="B22" t="str">
        <v>0,2= Fração de N em fertilizante orgânico que volatiliza como NH3 e NOx</v>
      </c>
    </row>
    <row r="23">
      <c r="B23" t="str">
        <v>0,3= Fração de N nos fertilizante minerais e orgânico que é perdida via lixiviação e runnof</v>
      </c>
    </row>
    <row r="24">
      <c r="B24" t="str">
        <v>Nrc= kg N/ha em resíduos culturais</v>
      </c>
    </row>
    <row r="27">
      <c r="B27" t="str">
        <v>Resídos culturais</v>
      </c>
    </row>
    <row r="28">
      <c r="B28" t="str">
        <v>Nrc CANA DE AÇÚCAR =</v>
      </c>
      <c r="F28" t="str">
        <v xml:space="preserve">Nrc MILHO E SOJA = </v>
      </c>
    </row>
    <row r="29">
      <c r="B29" t="str">
        <v>[teor de N na raíz * quantidade de raíz)+(teor de N na palha*quantidade de palha*produtividade*(1 - % da área queimada - % de resíduos agrícolas recolhida)]</v>
      </c>
      <c r="F29" t="str">
        <v>[Quantidade de resíduos na parte aérea*1000*Teor de N na parte aérea*(1-Fração de resíduos recolhidos)+(Quantidade de resíduos na parte aérea*1000+Produtividade em massa seca*1000)*Quantidade de raíz*Teor de N na raíz]</v>
      </c>
    </row>
    <row r="30">
      <c r="C30" t="str">
        <v>Cana de açúcar E1G</v>
      </c>
      <c r="D30" t="str">
        <v>Cana E1G2G</v>
      </c>
      <c r="E30" t="str">
        <v>Cana Flex</v>
      </c>
      <c r="G30" t="str">
        <v>Milho BR - Stand Alone</v>
      </c>
      <c r="H30" t="str">
        <v>Milho BR - Flex</v>
      </c>
      <c r="I30" t="str">
        <v>Milho Importado</v>
      </c>
      <c r="J30" t="str">
        <v>Soja</v>
      </c>
      <c r="K30" t="str">
        <v>Soja HEFA</v>
      </c>
    </row>
    <row r="31">
      <c r="B31" t="str">
        <v xml:space="preserve">Fração de massa seca </v>
      </c>
      <c r="F31" t="str">
        <v xml:space="preserve">Fração de massa seca </v>
      </c>
    </row>
    <row r="32">
      <c r="B32" t="str">
        <v>Produtividade (t/ha)</v>
      </c>
      <c r="F32" t="str">
        <v>Produtividade (t/ha)</v>
      </c>
    </row>
    <row r="33">
      <c r="B33" t="str">
        <v>Produtividade em massa seca (t/ha)</v>
      </c>
      <c r="F33" t="str">
        <v>Produtividade em massa seca (t/ha)</v>
      </c>
    </row>
    <row r="34">
      <c r="B34" t="str">
        <v>Quantidade de palha (tpalha (bs) /tcana )</v>
      </c>
      <c r="F34" t="str">
        <v>Quantidade de resíduos na parte aérea (t bs/ha)</v>
      </c>
    </row>
    <row r="35">
      <c r="B35" t="str">
        <v>Quantidade de resíduos na parte aérea (t bs/ha)</v>
      </c>
      <c r="F35" t="str">
        <v>Teor de N nos resíduos da parte aérea (kgN/kg resíduo bs)</v>
      </c>
    </row>
    <row r="36">
      <c r="B36" t="str">
        <v>Teor de N nos resíduos da parte aérea (kgN/tpalha bs)</v>
      </c>
      <c r="F36" t="str">
        <v>Fração de resíduos recolhidos</v>
      </c>
    </row>
    <row r="37">
      <c r="B37" t="str">
        <v>Razão entre as raízes e a parte aérea (kgraízes/kgparte aérea)</v>
      </c>
      <c r="F37" t="str">
        <v>Razão entre as raízes e a parte aérea (kgraízes/kgparte aérea)</v>
      </c>
    </row>
    <row r="38">
      <c r="B38" t="str">
        <v>Teor de N na raíz (kgN / traíz bs)</v>
      </c>
      <c r="F38" t="str">
        <v>Teor de N na raíz (kgN/kg raíz)</v>
      </c>
    </row>
    <row r="39">
      <c r="B39" t="str">
        <v>Quantidade de raíz (t(bs)/ha/ano)</v>
      </c>
    </row>
    <row r="40">
      <c r="B40" t="str">
        <v>Fração da área queimada</v>
      </c>
    </row>
    <row r="41">
      <c r="B41" t="str">
        <v>Palha retirada como impureza vegetal (tpalha (bs) /ha )</v>
      </c>
    </row>
    <row r="42">
      <c r="B42" t="str">
        <v>Palha recolhida (tpalha (bs) /ha)</v>
      </c>
    </row>
    <row r="43">
      <c r="B43" t="str">
        <v>Fração de resíduos recolhidos</v>
      </c>
    </row>
    <row r="46">
      <c r="B46" t="str">
        <v>Emissões de N2O</v>
      </c>
    </row>
    <row r="47">
      <c r="C47" t="str">
        <v>Cana de açúcar E1G</v>
      </c>
      <c r="D47" t="str">
        <v>Cana E1G2G</v>
      </c>
      <c r="E47" t="str">
        <v>Cana Flex</v>
      </c>
      <c r="G47" t="str">
        <v>Milho BR - Stand Alone</v>
      </c>
      <c r="H47" t="str">
        <v>Milho BR - Flex</v>
      </c>
      <c r="I47" t="str">
        <v>Milho Importado</v>
      </c>
      <c r="J47" t="str">
        <v>Soja B100</v>
      </c>
      <c r="K47" t="str">
        <v>Soja HEFA</v>
      </c>
    </row>
    <row r="48">
      <c r="B48" t="str">
        <v>Nmin_fert (kg N/ha)</v>
      </c>
      <c r="F48" t="str">
        <v>Nmin_fert (kg N/ha)</v>
      </c>
    </row>
    <row r="49">
      <c r="B49" t="str">
        <v>Norg_fert (kg N/ha)</v>
      </c>
      <c r="F49" t="str">
        <v>Norg_fert (kg N/ha)</v>
      </c>
    </row>
    <row r="50">
      <c r="B50" t="str">
        <v>Nrc (kg N/ha)</v>
      </c>
      <c r="F50" t="str">
        <v>Nrc (kg N/ha)</v>
      </c>
    </row>
    <row r="51">
      <c r="B51" t="str">
        <v>Emissões fertilizantes minerais</v>
      </c>
      <c r="F51" t="str">
        <v>Emissões fertilizantes minerais</v>
      </c>
    </row>
    <row r="52">
      <c r="B52" t="str">
        <v>NH3</v>
      </c>
      <c r="F52" t="str">
        <v>NH3</v>
      </c>
    </row>
    <row r="53">
      <c r="B53" t="str">
        <v>NO3-</v>
      </c>
      <c r="F53" t="str">
        <v>NO3-</v>
      </c>
    </row>
    <row r="54">
      <c r="B54" t="str">
        <v>N2O</v>
      </c>
      <c r="F54" t="str">
        <v>N2O</v>
      </c>
    </row>
    <row r="55">
      <c r="B55" t="str">
        <v>Emissões fertilizantes orgânicos</v>
      </c>
      <c r="F55" t="str">
        <v>Emissões fertilizantes orgânicos</v>
      </c>
    </row>
    <row r="56">
      <c r="B56" t="str">
        <v>NH3</v>
      </c>
      <c r="F56" t="str">
        <v>NH3</v>
      </c>
    </row>
    <row r="57">
      <c r="B57" t="str">
        <v>NO3-</v>
      </c>
      <c r="F57" t="str">
        <v>NO3-</v>
      </c>
    </row>
    <row r="58">
      <c r="B58" t="str">
        <v>N2O</v>
      </c>
      <c r="F58" t="str">
        <v>N2O</v>
      </c>
    </row>
    <row r="59">
      <c r="B59" t="str">
        <v>Emissões resíduos culturais</v>
      </c>
      <c r="F59" t="str">
        <v>Emissões resíduos culturais</v>
      </c>
    </row>
    <row r="60">
      <c r="B60" t="str">
        <v>NH3</v>
      </c>
      <c r="F60" t="str">
        <v>NH3</v>
      </c>
    </row>
    <row r="61">
      <c r="B61" t="str">
        <v>NO3-</v>
      </c>
      <c r="F61" t="str">
        <v>NO3-</v>
      </c>
    </row>
    <row r="62">
      <c r="B62" t="str">
        <v>N2O</v>
      </c>
      <c r="F62" t="str">
        <v>N2O</v>
      </c>
    </row>
    <row r="63">
      <c r="B63" t="str">
        <v>IPCC (2006)</v>
      </c>
    </row>
    <row r="66">
      <c r="B66" t="str">
        <v>Emissões de N2O e CH4 da palha queimada do campo - Apenas para Cana de Açúcar</v>
      </c>
    </row>
    <row r="67">
      <c r="B67" t="str">
        <v>Quantidade de palha queimada = quantidade de palha produzida*produtividade*% da área queimada</v>
      </c>
    </row>
    <row r="68">
      <c r="B68" t="str">
        <v>Fatores de emissão (kg/t palha bs):</v>
      </c>
    </row>
    <row r="69">
      <c r="B69" t="str">
        <v>N2O</v>
      </c>
      <c r="C69">
        <v>0.07</v>
      </c>
    </row>
    <row r="70">
      <c r="B70" t="str">
        <v>CH4 Bio</v>
      </c>
      <c r="C70">
        <v>2.7</v>
      </c>
    </row>
    <row r="71">
      <c r="C71" t="str">
        <v>Cana de açúcar E1G</v>
      </c>
      <c r="D71" t="str">
        <v>Cana E1G2G</v>
      </c>
      <c r="E71" t="str">
        <v>Cana Flex</v>
      </c>
    </row>
    <row r="72">
      <c r="B72" t="str">
        <v>Quantidade de palha queimada</v>
      </c>
      <c r="C72">
        <f>C34*C32*C40</f>
        <v>0</v>
      </c>
      <c r="D72">
        <f>D34*D32*D40</f>
        <v>0</v>
      </c>
      <c r="E72">
        <f>E34*E32*E40</f>
        <v>0</v>
      </c>
    </row>
    <row r="73">
      <c r="B73" t="str">
        <v>Emissões de N2O (kg/ha)</v>
      </c>
      <c r="C73">
        <f>C72*$C$69</f>
        <v>0</v>
      </c>
      <c r="D73">
        <f>D72*$C$69</f>
        <v>0</v>
      </c>
      <c r="E73">
        <f>E72*$C$69</f>
        <v>0</v>
      </c>
    </row>
    <row r="74">
      <c r="B74" t="str">
        <v>Emissões de CH4 (kg/ha)</v>
      </c>
      <c r="C74">
        <f>C72*$C$70</f>
        <v>0</v>
      </c>
      <c r="D74">
        <f>D72*$C$70</f>
        <v>0</v>
      </c>
      <c r="E74">
        <f>E72*$C$70</f>
        <v>0</v>
      </c>
    </row>
    <row r="75">
      <c r="B75" t="str">
        <v>GREET (2010)</v>
      </c>
    </row>
    <row r="78">
      <c r="B78" t="str">
        <v>Emissões de CO2 fóssil após aplicação de Calcário e Uréia</v>
      </c>
    </row>
    <row r="79">
      <c r="B79" t="str">
        <v>Calcário Calcítico (kg C/kg)</v>
      </c>
      <c r="C79">
        <v>0.12</v>
      </c>
      <c r="D79" t="str">
        <v>Calcário Calcítico (kg CO₂/kg)</v>
      </c>
      <c r="E79">
        <f>C79*(44/12)</f>
        <v>0.44</v>
      </c>
    </row>
    <row r="80">
      <c r="B80" t="str">
        <v>Calcário Dolomítico (kg C/kg)</v>
      </c>
      <c r="C80">
        <v>0.13</v>
      </c>
      <c r="D80" t="str">
        <v>Calcário Dolomítico (kg CO₂/kg)</v>
      </c>
      <c r="E80">
        <f>C80*(44/12)</f>
        <v>0.4766666667</v>
      </c>
    </row>
    <row r="81">
      <c r="B81" t="str">
        <v>Calcário Ureia (kg C/kg)</v>
      </c>
      <c r="C81">
        <v>0.2</v>
      </c>
      <c r="D81" t="str">
        <v>Ureia (kg CO₂/kg N)</v>
      </c>
      <c r="E81">
        <f>C81*(44/12)/0.47</f>
        <v>1.560283688</v>
      </c>
    </row>
    <row r="82">
      <c r="B82" t="str">
        <v>IPCC (2006)</v>
      </c>
    </row>
  </sheetData>
  <pageMargins left="0.511805555555555" right="0.511805555555555" top="0.7875" bottom="0.7875" header="0" footer="0"/>
  <ignoredErrors>
    <ignoredError numberStoredAsText="1" sqref="B1:K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Instruções</vt:lpstr>
      <vt:lpstr>EngS_BioCalc</vt:lpstr>
      <vt:lpstr>Dados auxiliares</vt:lpstr>
      <vt:lpstr>CFF</vt:lpstr>
      <vt:lpstr>Resultados</vt:lpstr>
      <vt:lpstr>Referências</vt:lpstr>
      <vt:lpstr>_E2G</vt:lpstr>
      <vt:lpstr>_EMISSOES_AGRICOLAS_RENOVACALC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